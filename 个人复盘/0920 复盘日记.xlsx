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<sst xmlns="http://schemas.openxmlformats.org/spreadsheetml/2006/main" count="691" uniqueCount="453">
  <si>
    <t>大盘情绪监控表</t>
  </si>
  <si>
    <t>大盘判断：普涨、普跌、震荡、补涨</t>
  </si>
  <si>
    <t>稳增长防御：（消费）：食品饮料 家电家居 酿酒 商贸零售 纺织服装 农业 汽车 医药 旅游餐饮</t>
  </si>
  <si>
    <t>低增长（金融稳定）：房地产 电力及公用事业 交通运输 建筑 银行 证券金融</t>
  </si>
  <si>
    <t>日期</t>
  </si>
  <si>
    <t>红盘</t>
  </si>
  <si>
    <t>绿盘</t>
  </si>
  <si>
    <t>涨停</t>
  </si>
  <si>
    <t>跌停</t>
  </si>
  <si>
    <t>炸板率</t>
  </si>
  <si>
    <t>首板</t>
  </si>
  <si>
    <t>二板</t>
  </si>
  <si>
    <t>三板</t>
  </si>
  <si>
    <t>个股</t>
  </si>
  <si>
    <t>三板以上</t>
  </si>
  <si>
    <t>连板数量</t>
  </si>
  <si>
    <t>1进2</t>
  </si>
  <si>
    <t>2进3</t>
  </si>
  <si>
    <t>3进多</t>
  </si>
  <si>
    <t>情绪周期</t>
  </si>
  <si>
    <t>闽东电力5</t>
  </si>
  <si>
    <t>强</t>
  </si>
  <si>
    <t>国电南自</t>
  </si>
  <si>
    <t>弱</t>
  </si>
  <si>
    <t>滨海能源 新中港</t>
  </si>
  <si>
    <t>汇源通信 朗姿股份 中曼石油</t>
  </si>
  <si>
    <t>新中港4</t>
  </si>
  <si>
    <t>汇源通信4</t>
  </si>
  <si>
    <t>昂立教育3</t>
  </si>
  <si>
    <t>昂立教育4</t>
  </si>
  <si>
    <t xml:space="preserve">伊戈尔3 亿利洁能3 </t>
  </si>
  <si>
    <t xml:space="preserve">伊戈尔4 亿利洁能4 </t>
  </si>
  <si>
    <t>民生控股3</t>
  </si>
  <si>
    <t>金鸿顺3 同力日升3</t>
  </si>
  <si>
    <t>金鸿顺4 同力日升4</t>
  </si>
  <si>
    <t>晶华新材</t>
  </si>
  <si>
    <t>大金重工</t>
  </si>
  <si>
    <t>丰元股份 崇达技术 天下秀</t>
  </si>
  <si>
    <t>吉鑫科技</t>
  </si>
  <si>
    <t>华亚智能</t>
  </si>
  <si>
    <t>吉鑫科技4</t>
  </si>
  <si>
    <t>香山股份</t>
  </si>
  <si>
    <t>华亚智能4 吉鑫科技5</t>
  </si>
  <si>
    <t xml:space="preserve">易尚展示 佳创视讯 德昌股份 </t>
  </si>
  <si>
    <t>香山股份4</t>
  </si>
  <si>
    <t>国光电器 长缆科技 京泉华</t>
  </si>
  <si>
    <t>易尚展示4</t>
  </si>
  <si>
    <t>拓新药业 广东骏亚 沪光股份</t>
  </si>
  <si>
    <t>金圆股份 宁波精达 汇得科技</t>
  </si>
  <si>
    <t>拓新药业4 沪光股份4</t>
  </si>
  <si>
    <t>双象股份</t>
  </si>
  <si>
    <t>沪光股份5 汇得科技4 金圆股份4</t>
  </si>
  <si>
    <t>沪光股份6</t>
  </si>
  <si>
    <t>宝鹰股份 中利集团</t>
  </si>
  <si>
    <t>沪光股份7</t>
  </si>
  <si>
    <t>嵘泰股份</t>
  </si>
  <si>
    <t>宝鹰股份4</t>
  </si>
  <si>
    <t>九安医疗 特一药业 宇晶股份</t>
  </si>
  <si>
    <t>嵘泰股份4</t>
  </si>
  <si>
    <t>九安医疗4 宇晶股份4</t>
  </si>
  <si>
    <t>中捷精工</t>
  </si>
  <si>
    <t>九安医疗5</t>
  </si>
  <si>
    <t>康盛股份 镇扬发展</t>
  </si>
  <si>
    <t>九安医疗6</t>
  </si>
  <si>
    <t>天永智能 鞍重股份</t>
  </si>
  <si>
    <t>九安医疗7 镇扬发展4</t>
  </si>
  <si>
    <t>九安医疗8 镇扬发展5 天永智能4</t>
  </si>
  <si>
    <t>英洛华 陕西金叶</t>
  </si>
  <si>
    <t>九安医疗9 镇扬发展6</t>
  </si>
  <si>
    <t>财信发展</t>
  </si>
  <si>
    <t>英洛华4</t>
  </si>
  <si>
    <t>新力金融 亚宝药业 奥锐特</t>
  </si>
  <si>
    <t>英洛华5</t>
  </si>
  <si>
    <t>中锐股份</t>
  </si>
  <si>
    <t>新力金融4 奥锐特4</t>
  </si>
  <si>
    <t>九安医疗 力合科创 天瑞仪器 万里股份</t>
  </si>
  <si>
    <t>中锐股份4</t>
  </si>
  <si>
    <t>西陇科学 吉宏股份 华嵘控股</t>
  </si>
  <si>
    <t>万里股份4 中锐股份5</t>
  </si>
  <si>
    <t>京城股份</t>
  </si>
  <si>
    <t>万里股份5</t>
  </si>
  <si>
    <t xml:space="preserve">济南高新 </t>
  </si>
  <si>
    <t>万里股份6 京城股份4</t>
  </si>
  <si>
    <t>京城股份5 济南高新4</t>
  </si>
  <si>
    <t>跃岭股份 湖南天雁 镇扬发展 迪生力 西仪股份</t>
  </si>
  <si>
    <t>京城股份6</t>
  </si>
  <si>
    <t>三羊马</t>
  </si>
  <si>
    <t>京城股份7 西仪股份4 跃岭股份4 湖南天雁4 迪生力4</t>
  </si>
  <si>
    <t>广东鸿图 美盛文化 华林证券</t>
  </si>
  <si>
    <t>西仪股份5 跃岭股份5 湖南天雁5 迪生力5 三羊马4</t>
  </si>
  <si>
    <t>欢瑞世纪 启明信息 中锐股份 锋尚文化</t>
  </si>
  <si>
    <t>西仪股份6 跃岭股份6 湖南天雁6 三羊马5 美盛文化4</t>
  </si>
  <si>
    <t>罗曼股份 财信发展 万安科技 冀凯股份 中铝国际 镇洋发展</t>
  </si>
  <si>
    <t>西仪股份7 跃岭股份7 湖南天雁7 三羊马6 美盛文化5 欢瑞世纪4 中锐股份4 蓝科高新4</t>
  </si>
  <si>
    <t>湖北广电 陕西金叶 九安医疗 九洲股份 宣亚国际C 金山股份 风范股份 福然德 西上海</t>
  </si>
  <si>
    <t>西仪股份8 三羊马7 蓝科高新5 财信发展4 中铝国际4</t>
  </si>
  <si>
    <t>顺钠股份 富临运业 科新发展 兰石重装</t>
  </si>
  <si>
    <t>西仪股份9 三羊马8 蓝科高新6 中铝国际5 湖北广电4 陕西金叶4 龙洲股份4 宣亚国际4 风范股份4 福然德4</t>
  </si>
  <si>
    <t>渝开发 汇率生态 大龙地产 长城迪昂 蓝光发展</t>
  </si>
  <si>
    <t>西仪股份10 三羊马9 蓝科高新7 中铝国际6 湖北广电5 陕西金叶5 龙洲股份5 金山股份5 风范股份5 福然德5 顺钠股份4 富临运业4 兰石重装4</t>
  </si>
  <si>
    <t>漳州发展 川大智胜 中锐股份 龙泉股份 京城股份 金麒麟</t>
  </si>
  <si>
    <t>西仪股份11 三羊马10 蓝科高新8 中铝国际7 湖北广电6 陕西金叶6 龙洲股份6 金山股份6 风范股份5 富临运业5 兰石重装5 渝开发4 汇率生态4 大龙地产4 长城电工4 蓝光发展4</t>
  </si>
  <si>
    <t>财信发展 嘉凯城 炬申股份 运机集团 宝鹰股份 创新医疗 延华智能 九安医疗 仁智股份 开普检测 江苏阳光 动力源 汇通能源</t>
  </si>
  <si>
    <t>西仪股份12 三羊马11 湖北广电7 龙洲股份7 金山股份7 兰石重装6 渝开发5 汇率生态5 大龙地产5 长城电工5 蓝光发展5 龙泉股份4 川大智胜4 漳州发展4</t>
  </si>
  <si>
    <t>神州高铁 万邦德 陇神戎发 威帝股份 龙版传媒</t>
  </si>
  <si>
    <t>西仪股份13 龙洲股份8 汇率生态6 大龙地产6 宝鹰股份4 创新医疗4 延华智能4 九安医疗4 仁智股份4</t>
  </si>
  <si>
    <t>三湘印象 亚联发展 盛泰集团</t>
  </si>
  <si>
    <t>延华智能5 仁智股份5 神州高铁4</t>
  </si>
  <si>
    <t>龙津药业 罗曼股份</t>
  </si>
  <si>
    <t>延华智能6 亚联发展4</t>
  </si>
  <si>
    <t>银星能源 博瑞传播</t>
  </si>
  <si>
    <t>龙津药业4</t>
  </si>
  <si>
    <t>精华制药 新筑股份</t>
  </si>
  <si>
    <t>龙津药业5</t>
  </si>
  <si>
    <t>国际通用 尖峰集团 合锻智能 四川成渝</t>
  </si>
  <si>
    <t>龙津药业6 精华制药4 新筑股份4</t>
  </si>
  <si>
    <t>中锐股份 西陇科学 仙坛股份 迦南科技 星湖科技 内蒙新华 瑞斯康达 美邦股份</t>
  </si>
  <si>
    <t>龙津药业7 精华制药5 新筑股份5 尖峰集团4 四川成渝4</t>
  </si>
  <si>
    <t xml:space="preserve">冰山冷热 天神娱乐 顾地科技 华森制药 浙文互联 </t>
  </si>
  <si>
    <t>龙津药业8 精华制药6 仙坛股份4 内蒙新华4 美邦股份4</t>
  </si>
  <si>
    <t>北化股份 金时科技 博瑞传播 汇鸿集团 春雪食品</t>
  </si>
  <si>
    <t>龙津药业9 精华制药7 冰山冷热4 顾地科技4 华森制药4</t>
  </si>
  <si>
    <t>开开实业 贵广网络</t>
  </si>
  <si>
    <t>龙津药业10 精华制药8 冰山冷热5 顾地科技5</t>
  </si>
  <si>
    <t xml:space="preserve">莱茵体育 宋都股份 翠微股份 正和生态 </t>
  </si>
  <si>
    <t>冰山冷热6 顾地科技6 开开实业4</t>
  </si>
  <si>
    <t>交大昂立 京城股份</t>
  </si>
  <si>
    <t>顾地科技7 开开实业5 宋都股份4 翠微股份4 正和生态4</t>
  </si>
  <si>
    <t xml:space="preserve">新华联 青岛食品 亚太药业 韩建河山 安迅生物 </t>
  </si>
  <si>
    <t>开开实业6 翠微股份5</t>
  </si>
  <si>
    <t>湖北广电 亚世光电 吉翔股份</t>
  </si>
  <si>
    <t>开开实业7 新华联4 亚太药业4 安迅生物4</t>
  </si>
  <si>
    <t>赛隆药业</t>
  </si>
  <si>
    <t>开开实业8 新华联5 亚太药业5 湖北广电4 亚世光电4 吉翔股份4</t>
  </si>
  <si>
    <t>九安医疗 千红制药 廊坊发展</t>
  </si>
  <si>
    <t>新华联6 亚世光电5 赛隆药业4</t>
  </si>
  <si>
    <t>得利斯 海欣食品 金时科技 济南高新 福成股份 金陵饭店 引力传媒</t>
  </si>
  <si>
    <t>赛隆药业5 九安医疗4 千红制药4</t>
  </si>
  <si>
    <t>人人乐 精华制药 金财互联 中农联合</t>
  </si>
  <si>
    <t>赛隆药业6 九安医疗5 千红制药5 得利斯4 海欣食品4 金时科技4 福成股份4</t>
  </si>
  <si>
    <t>得利斯5 金时科技5 金财互联4 中农联合4</t>
  </si>
  <si>
    <t>泰慕士 零点有数 浪潮软件 吉视传媒 翠微股份 海量数据</t>
  </si>
  <si>
    <t>得利斯6 金财互联5 中农联合5</t>
  </si>
  <si>
    <t>亚联发展</t>
  </si>
  <si>
    <t>得利斯7 金财互联6 中农联合6 泰慕士4 吉视传媒4 翠微股份4 海量数据4</t>
  </si>
  <si>
    <t>天虹股份 岭南股份 哈森股份 安妮股份</t>
  </si>
  <si>
    <t>金财互联7 亚联发展4</t>
  </si>
  <si>
    <t>新华联</t>
  </si>
  <si>
    <t>安妮股份4 岭南股份4</t>
  </si>
  <si>
    <t>京蓝科技 证通电子 曲江文旅 新炬网络</t>
  </si>
  <si>
    <t>安妮股份5 新华联4</t>
  </si>
  <si>
    <t>京蓝科技4 证通电子4 新炬网络4</t>
  </si>
  <si>
    <t>保利联合 深南股份</t>
  </si>
  <si>
    <t>保利联合4</t>
  </si>
  <si>
    <t>岭南控股 冀东装备 恒宝股份 翠微股份</t>
  </si>
  <si>
    <t>保利联合5</t>
  </si>
  <si>
    <t>泰禾集团 中国海诚 浙江建投 贝肯能源 元隆雅图 中瓷电子 文投控股 重庆建工 汇通集团</t>
  </si>
  <si>
    <t>保利联合6 冀东装备4 恒宝股份4 翠微股份4</t>
  </si>
  <si>
    <t xml:space="preserve">新华联 金财互联 普邦股份 华扬联众 </t>
  </si>
  <si>
    <t>保利联合7 冀东装备5 恒宝股份5 浙江建投4 元隆雅图4 重庆建工4 汇通集团4</t>
  </si>
  <si>
    <t>京蓝科技 御银股份 出版传媒</t>
  </si>
  <si>
    <t>保利联合8 恒宝股份6 浙江建投5 元隆雅图5 汇通集团5 金财互联4</t>
  </si>
  <si>
    <t xml:space="preserve">凯撒旅业 省广集团 美吉姆 国旅联合 曲江文旅 正平股份 </t>
  </si>
  <si>
    <t>浙江建投6 元隆雅图6</t>
  </si>
  <si>
    <t>美吉姆4 正平股份4</t>
  </si>
  <si>
    <t>华媒控股 鞍重股份 诚达药业 浙文影业 天鹅股份 诚邦股份</t>
  </si>
  <si>
    <t>美吉姆5 正平股份5</t>
  </si>
  <si>
    <t>鞍重股份4 天鹅股份4 诚邦股份4</t>
  </si>
  <si>
    <t>浙江建投 金种子酒 宁波将 元成股份</t>
  </si>
  <si>
    <t>鞍重股份5 天鹅股份5 诚邦股份5</t>
  </si>
  <si>
    <t>浙江永强 华体科技</t>
  </si>
  <si>
    <t>鞍重股份6 天鹅股份6 诚邦股份6 浙江建投4 金种子酒4 宁波建工4 元成股份4</t>
  </si>
  <si>
    <t>美利云 延华智能 浙农股份 真视通 直真科技 依米康 首都在线 黑牡丹 云赛智联 浙大网新 贵广网络 韩建河山 佳力图</t>
  </si>
  <si>
    <t>诚邦股份7 金种子酒6 宁波建工6</t>
  </si>
  <si>
    <r>
      <rPr>
        <sz val="11"/>
        <color rgb="FFFF0000"/>
        <rFont val="宋体"/>
        <charset val="134"/>
        <scheme val="minor"/>
      </rPr>
      <t>指数与情绪双杀，最高有分歧预期</t>
    </r>
    <r>
      <rPr>
        <sz val="11"/>
        <color theme="1"/>
        <rFont val="宋体"/>
        <charset val="134"/>
        <scheme val="minor"/>
      </rPr>
      <t>，次高有接力空间预期，有反弹预期和弱修复预期，可能存在地天板</t>
    </r>
  </si>
  <si>
    <t>悦心健康 美吉姆 新天药业 海辰药业 广西广电</t>
  </si>
  <si>
    <t>宁波建工6 美利云4 浙农股份4 真视通4 直真科技4 依米康4 黑牡丹4 浙大网新4 贵广网络4 佳力图4</t>
  </si>
  <si>
    <t>宝塔实业 淮河能源 益民集团</t>
  </si>
  <si>
    <t>宁波建工7 美利云5 直真科技5 贵广网络5 佳力图5</t>
  </si>
  <si>
    <t>比依股份 佛慈制药</t>
  </si>
  <si>
    <t>美利云6 直真科技6 淮河能源4</t>
  </si>
  <si>
    <t>准油股份 仁智股份 宁波能源</t>
  </si>
  <si>
    <t>美利云7 直真科技7</t>
  </si>
  <si>
    <t>天顺股份 锦州港</t>
  </si>
  <si>
    <t>准油股份4 宁波能源4</t>
  </si>
  <si>
    <t>海联金汇</t>
  </si>
  <si>
    <t>准油股份5 宁波能源5 天顺股份4 锦州港4</t>
  </si>
  <si>
    <t>海鸥股份 宁波富邦 宋都股份 台海核电 河化股份</t>
  </si>
  <si>
    <t>准油股份6 宁波能源6 天顺股份5 锦州港5</t>
  </si>
  <si>
    <t>粤海饲料 悦心健康 中国医药 开开实业 宁波海运 长久物流 大理药业</t>
  </si>
  <si>
    <t>准油股份7 天顺股份6 锦州港6 河化股份4</t>
  </si>
  <si>
    <t>宁波联合</t>
  </si>
  <si>
    <t>天顺股份7 河化股份5 粤海饲料4 悦心健康4 中国医药4 大理药业4</t>
  </si>
  <si>
    <t>指数与情绪双杀，明天有修复预期，关注低位分歧回封的机会，仓位用到3成，明天弱转强用到5成</t>
  </si>
  <si>
    <t>长江健康</t>
  </si>
  <si>
    <t>河化股份6</t>
  </si>
  <si>
    <t>云南能投 时代出版 中路股份</t>
  </si>
  <si>
    <t>长江健康4</t>
  </si>
  <si>
    <t>北方国际 文艺科技 美诺华 城帝香江</t>
  </si>
  <si>
    <t>长江健康5 云南能投4 中路股份4</t>
  </si>
  <si>
    <t>北大医药 江苏阳光</t>
  </si>
  <si>
    <t>长江健康6 中路股份5 美诺华4</t>
  </si>
  <si>
    <t>中国医药</t>
  </si>
  <si>
    <t>北大医药4</t>
  </si>
  <si>
    <t>指数连杀两天，明天要修复预期，那么上午大跌的核心个股是可以做低吸的，因为下午是有机会V回来的</t>
  </si>
  <si>
    <t>北化股份 南威软件</t>
  </si>
  <si>
    <t>北大医药5</t>
  </si>
  <si>
    <t>远方信息 宋都股份 精伦电子 德邦股份</t>
  </si>
  <si>
    <t>北大医药6 北化股份4 南威软件4</t>
  </si>
  <si>
    <t xml:space="preserve">岭南控股 北坡股份 浙江建投 江化微 </t>
  </si>
  <si>
    <t>北化股份5 南威软件5 宋都股份4 精伦电子4 德邦股份4</t>
  </si>
  <si>
    <t>新华联 天保基建 海联金汇 盘龙药业 中国医药 青海春天 苏州高新</t>
  </si>
  <si>
    <t>南威软件6 宋都股份5 岭南控股4 北玻股份4 浙江建投4</t>
  </si>
  <si>
    <t>阳光城 鞍重股份 中欣氟材 晶雪节能 神奇制药 上海医药 合富中国</t>
  </si>
  <si>
    <t>宋都股份6 岭南控股5 北玻股份5 天保基建4 盘龙药业4 中国医药4 青海春天4 苏州高新4</t>
  </si>
  <si>
    <t>广田集团 西王食品 国机汽车 益盛药业 耀皮玻璃 精华制药 荣安地产</t>
  </si>
  <si>
    <t>宋都股份7 北玻股份6 苏州高新5 天保基建5 盘龙药业5 合富中国4 中欣氟材4 阳光城4</t>
  </si>
  <si>
    <t>粤水电 宁波建工</t>
  </si>
  <si>
    <t>北玻股份7 天保基建6 盘龙药业6 阳光城5 国际汽车4 西王食品4 荣安地产4 广田集团4</t>
  </si>
  <si>
    <t>冠城大通 信达地产 京城股份 星湖科技 万控智造</t>
  </si>
  <si>
    <t>北玻股份8 盘龙药业7 天保基建7 阳光城6 广田集团5</t>
  </si>
  <si>
    <t>武汉凡谷 亚太药业</t>
  </si>
  <si>
    <t>北玻股份9 天保基建8 盘龙药业8 粤水电5 冠城大通4</t>
  </si>
  <si>
    <t>华升股份 京粮控股 海泰发展</t>
  </si>
  <si>
    <t>天保基建9 盘龙药业9 武汉凡谷4</t>
  </si>
  <si>
    <t>中交地产 贵州百灵 农发种业</t>
  </si>
  <si>
    <t>武汉凡谷5 京粮控股4 海泰发展4 华升股份4</t>
  </si>
  <si>
    <t>渝开发 创新医疗 津荣天宇 天房发展</t>
  </si>
  <si>
    <t>海泰发展5 中交地产4 贵州百灵4</t>
  </si>
  <si>
    <t>金浦钛业 联络互动 太安堂 中科金财</t>
  </si>
  <si>
    <t>海泰发展6 中交地产5 渝开发4</t>
  </si>
  <si>
    <t>海南瑞泽 中国武夷 楚天龙 沙河股份 南国置业</t>
  </si>
  <si>
    <t>中交地产6 中科金财4</t>
  </si>
  <si>
    <t xml:space="preserve">深天地A 盛航股份 国统股份 瑞康医药 同达创业 </t>
  </si>
  <si>
    <t>中交地产7 沙河股份4 中国武夷4 南国置业4 海南瑞泽4 楚天龙4</t>
  </si>
  <si>
    <t>南山控股 鹿山新材</t>
  </si>
  <si>
    <t>中国武夷5 海南瑞泽5 盛航股份4 国统股份4</t>
  </si>
  <si>
    <t xml:space="preserve">新华联 北新路桥 中天精装 大理药业 </t>
  </si>
  <si>
    <t>中国武夷6 海南瑞泽6 国统股份5 南山控股4</t>
  </si>
  <si>
    <t>北部港湾 宁波富达</t>
  </si>
  <si>
    <t>国统股份6 北新路桥4 大理药业4</t>
  </si>
  <si>
    <t xml:space="preserve">空港股份 广汇物流 东百集团 第一医药 </t>
  </si>
  <si>
    <t>大理药业5 北部港湾4</t>
  </si>
  <si>
    <t>飞马国际 保锐科技 中国铁物 长久物流 三羊马 畅联股份 步步高</t>
  </si>
  <si>
    <t>大理药业6 广汇物流4 东百集团4</t>
  </si>
  <si>
    <t>大连友谊 九安医疗 宇环数控</t>
  </si>
  <si>
    <t>广汇物流5 东百集团5 步步高4 长久物流4 畅联股份4</t>
  </si>
  <si>
    <t>渝开发 京能置业</t>
  </si>
  <si>
    <t>步步高5 畅联股份5</t>
  </si>
  <si>
    <t>蓝焰控股 天龙股份</t>
  </si>
  <si>
    <t>畅联股份6</t>
  </si>
  <si>
    <t>华锋股份 上海能源 安记食品 银座股份</t>
  </si>
  <si>
    <t>蓝焰控股4 天龙股份4</t>
  </si>
  <si>
    <t>中兴商业 农发种业 联明股份</t>
  </si>
  <si>
    <t>上海能源4 安记食品4 天龙股份5</t>
  </si>
  <si>
    <t>步步高 大晟文化</t>
  </si>
  <si>
    <t>安记食品5 中兴商业4</t>
  </si>
  <si>
    <t>民生控股 国芳集团 盛泰集团</t>
  </si>
  <si>
    <t>中兴商业5</t>
  </si>
  <si>
    <t xml:space="preserve">泰慕士 </t>
  </si>
  <si>
    <t>盛泰集团4</t>
  </si>
  <si>
    <t>湖南发展 新华百货 上海港湾</t>
  </si>
  <si>
    <t>东尼电子</t>
  </si>
  <si>
    <t>湖南发展4 新华百货4</t>
  </si>
  <si>
    <t>双成药业 新华制药 徐家汇 爱仕达 中信国安 浙江建投</t>
  </si>
  <si>
    <t>湖南发展5</t>
  </si>
  <si>
    <t>融捷股份 凯龙股份 建艺集团 上海雅士</t>
  </si>
  <si>
    <t>湖南发展6 双成药业4 新华制药4 徐家汇4 爱仕达4 浙江建投4</t>
  </si>
  <si>
    <t>深深房A 鲁阳节能 华东重机 宏德股份</t>
  </si>
  <si>
    <t>湖南发展7 新华制药5 徐家汇5 浙江建投5 建艺集团4</t>
  </si>
  <si>
    <t>凯淳股份 宏润建设 永安药业 焦点科技 精华制药 若羽臣 中润资源 返利科技 爱旭股份 海兴电力</t>
  </si>
  <si>
    <t>新华制药6 浙江建投6 徐家汇6 建艺集团5 华东重机4 鲁阳节能4</t>
  </si>
  <si>
    <t>大理药业 润达医疗 望变电气 罗欣药业 华夏幸福</t>
  </si>
  <si>
    <t>新华制药7 浙江建投7 建艺集团6 华东重机5 凯淳股份4 返利科技4 爱旭股份4 若羽臣4 永安药业4 宏润建设4</t>
  </si>
  <si>
    <t>三木集团 东易日盛 昆药集团 厦门信达 尚荣医疗 广博股份</t>
  </si>
  <si>
    <t>大理药业4 望变电气4 罗欣药业4 宏润建设5 若羽臣5 爱旭股份5 华东重机6 建艺集团7 新华制药8 浙江建投8</t>
  </si>
  <si>
    <t>艾布鲁 金埔园林 普邦股份 恒大高新 福星股份 棕榈股份 会稽山 湖南发展 宜宾纸业 昆药集团 绿城水务 龙建股份 岭南股份</t>
  </si>
  <si>
    <t>新华制药9 建艺集团8 爱旭股份7 宏润建设7 罗欣药业6 东易日盛4 厦门信达4</t>
  </si>
  <si>
    <t>中设股份 亿利达 江苏吴中 安徽建工</t>
  </si>
  <si>
    <t>新华制药10 建艺集团9 东易日盛5 福星股份4 棕榈股份4 瑞和股份4 普邦股份4</t>
  </si>
  <si>
    <t>财信发展 登云股份 索菱股份</t>
  </si>
  <si>
    <t>新华制药11 福星股份5 棕榈股份5 亿利达4 中设股份4 江苏吴中4</t>
  </si>
  <si>
    <t>中洲控股 湖南投资 三木集团 湖南天雁 祁连山</t>
  </si>
  <si>
    <t>福星股份6 棕榈股份6 中设股份5 登云股份4 索菱股份4</t>
  </si>
  <si>
    <t>中通客车 奥飞娱乐 贤丰控股</t>
  </si>
  <si>
    <t>中设股份6 索菱股份5 湖南投资4</t>
  </si>
  <si>
    <t>中迪投资</t>
  </si>
  <si>
    <t>索菱股份6 中通客车4 奥飞娱乐4</t>
  </si>
  <si>
    <t>绿茵生态 郑中设计 中马传动 大庆华科 甘咨询 索通发展 中利集团 清源股份 数源科技</t>
  </si>
  <si>
    <t>索菱股份7 中通客车5 中迪投资4</t>
  </si>
  <si>
    <t>中国海诚 中成股份</t>
  </si>
  <si>
    <t xml:space="preserve">索菱股份8 中通客车6 中利集团4 清源股份4 数源科技4 绿茵生态4 </t>
  </si>
  <si>
    <t>漳州发展 海源复材 上海亚虹 福达股份 丽岛新材</t>
  </si>
  <si>
    <t>中成股份4 中通客车7 中利集团5 数源科技5</t>
  </si>
  <si>
    <t>大连圣亚</t>
  </si>
  <si>
    <t>海源复材4 福达股份4 丽岛新材4 中成股份5 中通客车7</t>
  </si>
  <si>
    <t>实益达 德力股份 通达动力 宇通重工 龙版传媒</t>
  </si>
  <si>
    <t>中通客车9 中成股份6 丽岛新材5</t>
  </si>
  <si>
    <t>宝塔实业 科陆电子 钱江水利</t>
  </si>
  <si>
    <t>中通客车10 实益达4 宇通重工4</t>
  </si>
  <si>
    <t>特力A 长虹华意 毅昌科技 茂硕电源 东风科技 金龙汽车</t>
  </si>
  <si>
    <t>中通客车11 宝塔实业4 科陆电子4 钱江水利4</t>
  </si>
  <si>
    <t>粤传媒 宏柏新材 浙江建投 中天火箭 潍柴重机</t>
  </si>
  <si>
    <t>中通客车12 宝塔实业5 科陆电子5 钱江水利5 东风科技4 茂硕电源4 特力A4</t>
  </si>
  <si>
    <t>英力特 大庆华科 阳光乳业 瑞泰科技 中成股份</t>
  </si>
  <si>
    <t>中通客车13 宝塔实业6 特力A5 粤传媒4</t>
  </si>
  <si>
    <t>广州浪奇 国电南自 海汽集团 莱特光电</t>
  </si>
  <si>
    <t>宝塔实业7 特力A6 粤传媒5 中成股份4 阳光乳业4 瑞泰科技4</t>
  </si>
  <si>
    <t>黑芝麻 数源科技  东风汽车 敦煌种业 渤海汽车</t>
  </si>
  <si>
    <t>宝塔实业8 特力A7 瑞泰科技5 海汽集团4 莱特光电4</t>
  </si>
  <si>
    <t>高新发展 安凯客车 华西能源 西仪股份</t>
  </si>
  <si>
    <t>海汽集团5 黑芝麻4 东风汽车4</t>
  </si>
  <si>
    <t>青岛双星 海螺新材 雅博股份 鹿山新材</t>
  </si>
  <si>
    <t>海汽集团6 华西能源4</t>
  </si>
  <si>
    <t>中国软件</t>
  </si>
  <si>
    <t>海汽集团7 华西能源5 鹿山新材4 青岛双星4</t>
  </si>
  <si>
    <t>科远智慧 常宝股份</t>
  </si>
  <si>
    <t>海汽集团8 华西能源6</t>
  </si>
  <si>
    <t>国际汽车 贵州燃气 光大证券 申华控股</t>
  </si>
  <si>
    <t>海汽集团9 华西能源7 常宝股份4 科远智慧4</t>
  </si>
  <si>
    <t>哈工智能 郑州煤电</t>
  </si>
  <si>
    <t>申华控股4 科远智慧5 海汽集团10</t>
  </si>
  <si>
    <t>中旗新材 广东鸿图 常铝股份 光洋股份 集泰股份</t>
  </si>
  <si>
    <t>郑州煤电4 海汽集团12</t>
  </si>
  <si>
    <t>浙江世宝</t>
  </si>
  <si>
    <t>集泰股份4 光洋股份4 郑州煤电5</t>
  </si>
  <si>
    <t>青岛金王</t>
  </si>
  <si>
    <t>浙江世宝4 集泰股份5</t>
  </si>
  <si>
    <t>深中华A</t>
  </si>
  <si>
    <t>浙江世宝5 集泰股份6</t>
  </si>
  <si>
    <t>宝馨科技</t>
  </si>
  <si>
    <t>浙江世宝6 深中华A4 集泰股份7</t>
  </si>
  <si>
    <t>松芝股份 神马电力 江苏雷利 深南电A</t>
  </si>
  <si>
    <t>集泰股份8 浙江世宝7</t>
  </si>
  <si>
    <t>大连重工 泰尔股份 振邦智能 派斯林</t>
  </si>
  <si>
    <t>集泰股份9 浙江世宝8 松芝股份4 神马电力4 深南电A4</t>
  </si>
  <si>
    <t>巨轮智能</t>
  </si>
  <si>
    <t>泰尔股份4 振邦智能4 松芝股份5 神马电力5 集泰股份10 浙江世宝9</t>
  </si>
  <si>
    <t>京山轻机 安凯客车 威尔泰 秦安股份 星帅尔</t>
  </si>
  <si>
    <t>巨轮智能4 振邦智能5 松芝股份6 神马电力6 浙江世宝10 集泰股份11</t>
  </si>
  <si>
    <t>兴民智通 宝馨科技 合力科技 铭普光磁 传艺科技 道恩股份</t>
  </si>
  <si>
    <t>安凯客车4 威尔泰4 京山轻机4 秦安股份4 巨轮智能5 松芝股份7 神马电力7 振邦智能6</t>
  </si>
  <si>
    <t>亚玛顿 日丰股份 金奥博   鹿山新材 银宝山新 弘讯科技 摩恩电气 泰嘉股份 华菱线缆 丰元股份</t>
  </si>
  <si>
    <t>兴民智通4 宝馨科技4 合力科技4  传艺科技4 道恩股份4 京山轻机5 安凯客车5 威尔泰5 秦安股份5  巨轮智能6 振邦智能7 松芝股份8</t>
  </si>
  <si>
    <t>远大智能 祖名股份 泰和智能</t>
  </si>
  <si>
    <t>松芝股份9 巨轮智能7 秦安股份6 兴民智通5 传艺科技5 亚玛顿4 泰嘉股份4 日丰股份4</t>
  </si>
  <si>
    <t>恒立实业 丽江股份 华天酒店 赣能股份</t>
  </si>
  <si>
    <t>远大智能4 日丰股份5 兴民智通6 传艺科技6</t>
  </si>
  <si>
    <t>国中水务</t>
  </si>
  <si>
    <t>赣能股份4 传艺科技7</t>
  </si>
  <si>
    <t>英飞拓</t>
  </si>
  <si>
    <t>赣能股份5</t>
  </si>
  <si>
    <t>攀钢钒钛 大连重工 中天精装</t>
  </si>
  <si>
    <t>赣能股份6</t>
  </si>
  <si>
    <t>金智科技 恒康医疗 高乐股份</t>
  </si>
  <si>
    <t>大连重工4 攀钢钒钛4 赣能股份7</t>
  </si>
  <si>
    <t>宏达高科</t>
  </si>
  <si>
    <t>金智科技4 恒康医疗4 高乐股份4 大连重工5 攀钢钒钛5 赣能股份8</t>
  </si>
  <si>
    <t xml:space="preserve">江铃汽车 山西路桥 瑞康医药 路畅科技 宝明科技 华亚智能 </t>
  </si>
  <si>
    <t>金智科技5 大连重工6 赣能股份9</t>
  </si>
  <si>
    <t>建投能源 罗普斯金 宝馨科技</t>
  </si>
  <si>
    <t>山西路桥4 宝明科技4 瑞康医药4 金智科技6</t>
  </si>
  <si>
    <t>长虹华意 湖南发展 长城电工</t>
  </si>
  <si>
    <t>罗普斯金4 宝馨科技4 瑞康医药5 山西路桥5 金智科技7</t>
  </si>
  <si>
    <t>韶能股份 赛象科技 恒大高新</t>
  </si>
  <si>
    <t>长虹华意4 湖南发展4 长城电工4 罗普斯金5 宝馨科技5 山西路桥6</t>
  </si>
  <si>
    <t>中锐股份 世嘉科技 合力科技</t>
  </si>
  <si>
    <t>山西路桥7 恒大高新4</t>
  </si>
  <si>
    <t>贵绳股份 新特电气 金龙羽 天津普林 顺发恒业</t>
  </si>
  <si>
    <t>世嘉科技4 合力科技4 恒大高新5</t>
  </si>
  <si>
    <t>中原环保 祥鑫科技 振华股份</t>
  </si>
  <si>
    <t>恒大高新6 世嘉科技5 顺发恒业4</t>
  </si>
  <si>
    <t>春兴精工 传艺科技 湖光股份</t>
  </si>
  <si>
    <t>恒大高新7 世嘉科技6 中原环保4</t>
  </si>
  <si>
    <t>广宇发展 海螺新材 三变科技 惠程科技 天桥起重 中大力德 冠盛股份</t>
  </si>
  <si>
    <t>春兴精工</t>
  </si>
  <si>
    <t>法尔胜 创新医疗</t>
  </si>
  <si>
    <t>惠程科技4 三变科技4 海螺新材4 春兴精工5</t>
  </si>
  <si>
    <t>美达股份 大连重工</t>
  </si>
  <si>
    <t>惠城科技</t>
  </si>
  <si>
    <t>佛燃能源 通润装备 大港股份 皇庭国际</t>
  </si>
  <si>
    <t>襄阳轴承 启迪环境</t>
  </si>
  <si>
    <t>佛燃能源4 通润装备4 皇庭国际4</t>
  </si>
  <si>
    <t>卓翼科技</t>
  </si>
  <si>
    <t>襄阳轴承4 佛燃能源5 通润装备5</t>
  </si>
  <si>
    <t>禾盛新材 日上集团 风范股份 鸣志电器 嵘泰股份</t>
  </si>
  <si>
    <t>卓翼科技4 佛燃能源6 通润装备6 襄阳轴承5</t>
  </si>
  <si>
    <t>秦川机床 汉王科技 中大力德 广汇物流 日出东方</t>
  </si>
  <si>
    <t>禾盛新材4 日上集团4 鸣志电器4 卓翼科技5 襄阳轴承6</t>
  </si>
  <si>
    <t xml:space="preserve">积成电子 宝馨科技 德联集团 联诚精密 金晶科技 </t>
  </si>
  <si>
    <t>襄阳轴承7 秦川机床4 中大力德4 日出东方4 日上集团5 鸣志电器5</t>
  </si>
  <si>
    <t>日盈电子 赛象科技</t>
  </si>
  <si>
    <t>秦川机床5 鸣志电器6 德联集团4 联诚精密4 金晶科技4</t>
  </si>
  <si>
    <t>青岛双星 天沃科技 绿康生化</t>
  </si>
  <si>
    <t>日盈电子4</t>
  </si>
  <si>
    <t>大港股份</t>
  </si>
  <si>
    <t>绿康生化4 天沃科技4</t>
  </si>
  <si>
    <t>多伦科技</t>
  </si>
  <si>
    <t>大港股份4 绿康生化5</t>
  </si>
  <si>
    <t>中超控股 达华智能 南方精工</t>
  </si>
  <si>
    <t>大港股份5</t>
  </si>
  <si>
    <t>康强电子 通富微电 奥维通信</t>
  </si>
  <si>
    <t>大港股份6 南方精工4</t>
  </si>
  <si>
    <t>伟隆股份</t>
  </si>
  <si>
    <t>奥维通信4 大港股份7</t>
  </si>
  <si>
    <t>东旭蓝天 文一科技 鹿山新材 日出东方</t>
  </si>
  <si>
    <t>大港股份8 奥维通信5</t>
  </si>
  <si>
    <t>宝塔实业 国光电器 赛象科技 麦趣尔  宇环数控</t>
  </si>
  <si>
    <t>东旭蓝天4</t>
  </si>
  <si>
    <t>东晶电子 中京电子</t>
  </si>
  <si>
    <t>宝塔实业4 宇环数控4</t>
  </si>
  <si>
    <t>川润股份 绿康生化</t>
  </si>
  <si>
    <t>中京电子4 宝塔实业5</t>
  </si>
  <si>
    <t>蓝光发展 乐山电力 亚振家居</t>
  </si>
  <si>
    <t>川润股份4 绿康生化4 宝塔实业6</t>
  </si>
  <si>
    <t>南方精工 远大智能 亿晶光电</t>
  </si>
  <si>
    <t>川润股份5</t>
  </si>
  <si>
    <t>深纺织A 英威腾 中南文化 三维化学</t>
  </si>
  <si>
    <t>远大智能4</t>
  </si>
  <si>
    <t>神雾节能 国光电器 五方光电</t>
  </si>
  <si>
    <t>深纺织A4 英威腾4  中南文化4  三维化学4  远大智能5</t>
  </si>
  <si>
    <t>德龙汇能</t>
  </si>
  <si>
    <t>神雾节能4 深纺织A5</t>
  </si>
  <si>
    <t>中广天择 惠威科技 捷荣技术</t>
  </si>
  <si>
    <t>神雾节能5 德龙汇能4</t>
  </si>
  <si>
    <t>国新能源 雪迪龙</t>
  </si>
  <si>
    <t xml:space="preserve">捷荣技术4 德龙汇能5 </t>
  </si>
  <si>
    <t>西部创业 黑芝麻</t>
  </si>
  <si>
    <t>德龙汇能6</t>
  </si>
  <si>
    <t xml:space="preserve">大庆华科 万和电气 </t>
  </si>
  <si>
    <t>黑芝麻4</t>
  </si>
  <si>
    <t>深南电A  惠博普</t>
  </si>
  <si>
    <t>万和电气4</t>
  </si>
  <si>
    <t>欢瑞世纪 北纬科技</t>
  </si>
  <si>
    <t xml:space="preserve">保利联合 </t>
  </si>
  <si>
    <t>欢瑞世纪4</t>
  </si>
  <si>
    <t>桂发祥</t>
  </si>
  <si>
    <t>欢瑞世纪5</t>
  </si>
  <si>
    <t>传艺科技 天顺股份</t>
  </si>
  <si>
    <t xml:space="preserve">云鼎科技 粤宏远A 智微智能 三维通信 绿康生化 </t>
  </si>
  <si>
    <t>天顺股份 传艺科技</t>
  </si>
  <si>
    <t>贝肯能源</t>
  </si>
  <si>
    <t>粤宏远A4 绿康生化4 天顺股份5 传艺科技5</t>
  </si>
  <si>
    <t>德邦股份</t>
  </si>
  <si>
    <t>粤宏远A5 天顺股份6</t>
  </si>
  <si>
    <t>博深股份</t>
  </si>
  <si>
    <t>天顺股份7</t>
  </si>
  <si>
    <t>山西路桥 中百集团 润贝航科</t>
  </si>
  <si>
    <t>民生控股</t>
  </si>
  <si>
    <t>润北航科 中百集团</t>
  </si>
  <si>
    <t>新华联4</t>
  </si>
  <si>
    <t xml:space="preserve">利仁科技 东方中科 </t>
  </si>
  <si>
    <t>浙江世宝4 新华联5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</si>
</sst>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00B050"/>
      <name val="宋体"/>
      <charset val="134"/>
      <scheme val="minor"/>
    </font>
    <font>
      <sz val="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20"/>
      <color rgb="FF00B05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rgb="FF00B050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5" fillId="11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" fillId="15" borderId="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6" fillId="19" borderId="5" applyNumberFormat="0" applyAlignment="0" applyProtection="0">
      <alignment vertical="center"/>
    </xf>
    <xf numFmtId="0" fontId="27" fillId="19" borderId="1" applyNumberFormat="0" applyAlignment="0" applyProtection="0">
      <alignment vertical="center"/>
    </xf>
    <xf numFmtId="0" fontId="28" fillId="20" borderId="6" applyNumberForma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5" fillId="0" borderId="0" xfId="0" applyFont="1" applyFill="1" applyAlignment="1">
      <alignment vertical="center" wrapText="1"/>
    </xf>
    <xf numFmtId="9" fontId="1" fillId="0" borderId="0" xfId="0" applyNumberFormat="1" applyFont="1" applyFill="1" applyAlignment="1">
      <alignment vertical="center" wrapText="1"/>
    </xf>
    <xf numFmtId="0" fontId="6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7" fillId="0" borderId="0" xfId="0" applyFont="1" applyFill="1" applyAlignment="1">
      <alignment vertical="center" wrapText="1"/>
    </xf>
    <xf numFmtId="58" fontId="1" fillId="0" borderId="0" xfId="0" applyNumberFormat="1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58" fontId="1" fillId="2" borderId="0" xfId="0" applyNumberFormat="1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0" fontId="3" fillId="0" borderId="0" xfId="0" applyNumberFormat="1" applyFont="1" applyFill="1" applyAlignment="1">
      <alignment vertical="center"/>
    </xf>
    <xf numFmtId="0" fontId="1" fillId="6" borderId="0" xfId="0" applyNumberFormat="1" applyFont="1" applyFill="1" applyAlignment="1">
      <alignment vertical="center"/>
    </xf>
    <xf numFmtId="0" fontId="1" fillId="5" borderId="0" xfId="0" applyNumberFormat="1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9" fontId="1" fillId="0" borderId="0" xfId="0" applyNumberFormat="1" applyFont="1" applyFill="1" applyAlignment="1">
      <alignment horizontal="center" vertical="center" wrapText="1"/>
    </xf>
    <xf numFmtId="0" fontId="1" fillId="4" borderId="0" xfId="0" applyFont="1" applyFill="1" applyAlignment="1">
      <alignment vertical="center" wrapText="1"/>
    </xf>
    <xf numFmtId="9" fontId="1" fillId="7" borderId="0" xfId="0" applyNumberFormat="1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9" fillId="0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0" fillId="8" borderId="0" xfId="0" applyFont="1" applyFill="1" applyAlignment="1">
      <alignment vertical="center"/>
    </xf>
    <xf numFmtId="9" fontId="1" fillId="5" borderId="0" xfId="0" applyNumberFormat="1" applyFont="1" applyFill="1" applyAlignment="1">
      <alignment vertical="center" wrapText="1"/>
    </xf>
    <xf numFmtId="9" fontId="1" fillId="6" borderId="0" xfId="0" applyNumberFormat="1" applyFont="1" applyFill="1" applyAlignment="1">
      <alignment vertical="center" wrapText="1"/>
    </xf>
    <xf numFmtId="58" fontId="1" fillId="2" borderId="0" xfId="0" applyNumberFormat="1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58" fontId="1" fillId="9" borderId="0" xfId="0" applyNumberFormat="1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13" fillId="0" borderId="0" xfId="0" applyFont="1" applyFill="1" applyAlignment="1">
      <alignment vertical="center" wrapText="1"/>
    </xf>
    <xf numFmtId="0" fontId="1" fillId="6" borderId="0" xfId="0" applyFont="1" applyFill="1" applyAlignment="1">
      <alignment vertical="center" wrapText="1"/>
    </xf>
    <xf numFmtId="9" fontId="13" fillId="5" borderId="0" xfId="0" applyNumberFormat="1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58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1" fillId="6" borderId="0" xfId="0" applyFont="1" applyFill="1" applyAlignment="1">
      <alignment vertical="center"/>
    </xf>
    <xf numFmtId="0" fontId="1" fillId="6" borderId="0" xfId="0" applyFont="1" applyFill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42"/>
  <sheetViews>
    <sheetView tabSelected="1" topLeftCell="A214" workbookViewId="0">
      <selection activeCell="J247" sqref="J247"/>
    </sheetView>
  </sheetViews>
  <sheetFormatPr defaultColWidth="9" defaultRowHeight="14.25"/>
  <cols>
    <col min="1" max="1" width="9.125" style="1"/>
    <col min="2" max="2" width="5.875" style="1" customWidth="1"/>
    <col min="3" max="3" width="6.25" style="1" customWidth="1"/>
    <col min="4" max="4" width="5.875" style="2" customWidth="1"/>
    <col min="5" max="5" width="6" style="3" customWidth="1"/>
    <col min="6" max="6" width="7.125" style="1" customWidth="1"/>
    <col min="7" max="7" width="4.25" style="1" customWidth="1"/>
    <col min="8" max="8" width="4.375" style="1" customWidth="1"/>
    <col min="9" max="9" width="3.75" style="4" customWidth="1"/>
    <col min="10" max="10" width="72.125" style="4" customWidth="1"/>
    <col min="11" max="11" width="5.125" style="5" customWidth="1"/>
    <col min="12" max="12" width="53.25" style="4" customWidth="1"/>
    <col min="13" max="13" width="5.125" style="6" customWidth="1"/>
    <col min="14" max="14" width="5.5" style="7" customWidth="1"/>
    <col min="15" max="15" width="6" style="7" customWidth="1"/>
    <col min="16" max="16" width="5.625" style="7" customWidth="1"/>
    <col min="17" max="17" width="5.25" style="7" customWidth="1"/>
    <col min="18" max="16384" width="9" style="1"/>
  </cols>
  <sheetData>
    <row r="1" s="1" customFormat="1" ht="25.5" spans="4:17">
      <c r="D1" s="2"/>
      <c r="E1" s="8" t="s">
        <v>0</v>
      </c>
      <c r="F1" s="8"/>
      <c r="G1" s="8"/>
      <c r="H1" s="8"/>
      <c r="I1" s="8"/>
      <c r="J1" s="27"/>
      <c r="K1" s="8"/>
      <c r="L1" s="27"/>
      <c r="M1" s="8"/>
      <c r="N1" s="8"/>
      <c r="O1" s="8"/>
      <c r="P1" s="8"/>
      <c r="Q1" s="8"/>
    </row>
    <row r="2" s="1" customFormat="1" ht="18.75" spans="1:23">
      <c r="A2" s="1" t="s">
        <v>1</v>
      </c>
      <c r="D2" s="2"/>
      <c r="E2" s="3"/>
      <c r="I2" s="4"/>
      <c r="J2" s="4"/>
      <c r="K2" s="5"/>
      <c r="L2" s="28" t="s">
        <v>2</v>
      </c>
      <c r="M2" s="29"/>
      <c r="N2" s="30"/>
      <c r="O2" s="30"/>
      <c r="P2" s="30"/>
      <c r="Q2" s="30"/>
      <c r="R2" s="35"/>
      <c r="S2" s="36"/>
      <c r="T2" s="36"/>
      <c r="U2" s="36"/>
      <c r="V2" s="35"/>
      <c r="W2" s="35"/>
    </row>
    <row r="3" s="1" customFormat="1" ht="13.5" spans="4:17">
      <c r="D3" s="2"/>
      <c r="E3" s="3"/>
      <c r="F3" s="1"/>
      <c r="G3" s="1"/>
      <c r="H3" s="1"/>
      <c r="I3" s="4"/>
      <c r="J3" s="4"/>
      <c r="K3" s="5"/>
      <c r="L3" s="28" t="s">
        <v>3</v>
      </c>
      <c r="M3" s="29"/>
      <c r="N3" s="30"/>
      <c r="O3" s="30"/>
      <c r="P3" s="30"/>
      <c r="Q3" s="30"/>
    </row>
    <row r="4" s="1" customFormat="1" spans="4:17">
      <c r="D4" s="2"/>
      <c r="E4" s="3"/>
      <c r="I4" s="4"/>
      <c r="J4" s="4"/>
      <c r="K4" s="5"/>
      <c r="L4" s="4"/>
      <c r="M4" s="6"/>
      <c r="N4" s="7"/>
      <c r="O4" s="7"/>
      <c r="P4" s="7"/>
      <c r="Q4" s="7"/>
    </row>
    <row r="5" s="1" customFormat="1" ht="13.5" spans="1:17">
      <c r="A5" s="9"/>
      <c r="B5" s="9"/>
      <c r="C5" s="10"/>
      <c r="D5" s="11"/>
      <c r="E5" s="12"/>
      <c r="F5" s="9"/>
      <c r="G5" s="13"/>
      <c r="H5" s="13"/>
      <c r="I5" s="31"/>
      <c r="J5" s="31"/>
      <c r="K5" s="31"/>
      <c r="L5" s="31"/>
      <c r="M5" s="31"/>
      <c r="N5" s="32"/>
      <c r="O5" s="32"/>
      <c r="P5" s="32"/>
      <c r="Q5" s="32"/>
    </row>
    <row r="6" s="1" customFormat="1" ht="27" spans="1:17">
      <c r="A6" s="14" t="s">
        <v>4</v>
      </c>
      <c r="B6" s="14" t="s">
        <v>5</v>
      </c>
      <c r="C6" s="14" t="s">
        <v>6</v>
      </c>
      <c r="D6" s="15" t="s">
        <v>7</v>
      </c>
      <c r="E6" s="3" t="s">
        <v>8</v>
      </c>
      <c r="F6" s="14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13</v>
      </c>
      <c r="M6" s="16" t="s">
        <v>15</v>
      </c>
      <c r="N6" s="7" t="s">
        <v>16</v>
      </c>
      <c r="O6" s="7" t="s">
        <v>17</v>
      </c>
      <c r="P6" s="7" t="s">
        <v>18</v>
      </c>
      <c r="Q6" s="7" t="s">
        <v>19</v>
      </c>
    </row>
    <row r="7" s="1" customFormat="1" spans="1:17">
      <c r="A7" s="17">
        <v>44469</v>
      </c>
      <c r="B7" s="18">
        <v>3771</v>
      </c>
      <c r="C7" s="1">
        <v>624</v>
      </c>
      <c r="D7" s="2">
        <v>88</v>
      </c>
      <c r="E7" s="19">
        <v>1</v>
      </c>
      <c r="F7" s="1">
        <v>22</v>
      </c>
      <c r="G7" s="1">
        <v>70</v>
      </c>
      <c r="H7" s="1">
        <v>2</v>
      </c>
      <c r="I7" s="1">
        <v>0</v>
      </c>
      <c r="J7" s="4"/>
      <c r="K7" s="1">
        <v>1</v>
      </c>
      <c r="L7" s="1" t="s">
        <v>20</v>
      </c>
      <c r="M7" s="6">
        <v>3</v>
      </c>
      <c r="N7" s="7">
        <v>0.13</v>
      </c>
      <c r="O7" s="7">
        <v>0</v>
      </c>
      <c r="P7" s="7">
        <v>1</v>
      </c>
      <c r="Q7" s="37" t="s">
        <v>21</v>
      </c>
    </row>
    <row r="8" s="1" customFormat="1" spans="1:17">
      <c r="A8" s="20">
        <v>44477</v>
      </c>
      <c r="B8" s="18">
        <v>3433</v>
      </c>
      <c r="C8" s="1">
        <v>1077</v>
      </c>
      <c r="D8" s="2">
        <v>99</v>
      </c>
      <c r="E8" s="3">
        <v>20</v>
      </c>
      <c r="F8" s="1">
        <v>27</v>
      </c>
      <c r="G8" s="1">
        <v>58</v>
      </c>
      <c r="H8" s="1">
        <v>5</v>
      </c>
      <c r="I8" s="4">
        <v>1</v>
      </c>
      <c r="J8" s="4" t="s">
        <v>22</v>
      </c>
      <c r="K8" s="5">
        <v>0</v>
      </c>
      <c r="L8" s="4"/>
      <c r="M8" s="6">
        <f t="shared" ref="M8:M71" si="0">H8+I8+K8</f>
        <v>6</v>
      </c>
      <c r="N8" s="7">
        <v>0.07</v>
      </c>
      <c r="O8" s="7">
        <f t="shared" ref="O8:O20" si="1">I8/H7</f>
        <v>0.5</v>
      </c>
      <c r="P8" s="7">
        <f t="shared" ref="P8:P12" si="2">K8/(I7+K7)</f>
        <v>0</v>
      </c>
      <c r="Q8" s="38" t="s">
        <v>23</v>
      </c>
    </row>
    <row r="9" s="1" customFormat="1" spans="1:17">
      <c r="A9" s="20">
        <v>44480</v>
      </c>
      <c r="B9" s="1">
        <v>2035</v>
      </c>
      <c r="C9" s="1">
        <v>2275</v>
      </c>
      <c r="D9" s="2">
        <v>93</v>
      </c>
      <c r="E9" s="3">
        <v>32</v>
      </c>
      <c r="F9" s="1">
        <v>15</v>
      </c>
      <c r="G9" s="1">
        <v>35</v>
      </c>
      <c r="H9" s="1">
        <v>8</v>
      </c>
      <c r="I9" s="4">
        <v>3</v>
      </c>
      <c r="J9" s="4" t="s">
        <v>24</v>
      </c>
      <c r="K9" s="5">
        <v>0</v>
      </c>
      <c r="L9" s="4"/>
      <c r="M9" s="33">
        <f t="shared" si="0"/>
        <v>11</v>
      </c>
      <c r="N9" s="7">
        <f t="shared" ref="N9:N72" si="3">H9/G8</f>
        <v>0.137931034482759</v>
      </c>
      <c r="O9" s="7">
        <f t="shared" si="1"/>
        <v>0.6</v>
      </c>
      <c r="P9" s="7">
        <f t="shared" si="2"/>
        <v>0</v>
      </c>
      <c r="Q9" s="37" t="s">
        <v>21</v>
      </c>
    </row>
    <row r="10" s="1" customFormat="1" spans="1:17">
      <c r="A10" s="17">
        <v>44481</v>
      </c>
      <c r="B10" s="1">
        <v>787</v>
      </c>
      <c r="C10" s="21">
        <v>3629</v>
      </c>
      <c r="D10" s="2">
        <v>53</v>
      </c>
      <c r="E10" s="3">
        <v>17</v>
      </c>
      <c r="F10" s="1">
        <v>29</v>
      </c>
      <c r="G10" s="1">
        <v>27</v>
      </c>
      <c r="H10" s="1">
        <v>3</v>
      </c>
      <c r="I10" s="4">
        <v>3</v>
      </c>
      <c r="J10" s="4" t="s">
        <v>25</v>
      </c>
      <c r="K10" s="5">
        <v>1</v>
      </c>
      <c r="L10" s="4" t="s">
        <v>26</v>
      </c>
      <c r="M10" s="6">
        <f t="shared" si="0"/>
        <v>7</v>
      </c>
      <c r="N10" s="7">
        <f t="shared" si="3"/>
        <v>0.0857142857142857</v>
      </c>
      <c r="O10" s="7">
        <f t="shared" si="1"/>
        <v>0.375</v>
      </c>
      <c r="P10" s="7">
        <f t="shared" si="2"/>
        <v>0.333333333333333</v>
      </c>
      <c r="Q10" s="38" t="s">
        <v>23</v>
      </c>
    </row>
    <row r="11" s="1" customFormat="1" spans="1:17">
      <c r="A11" s="17">
        <v>44482</v>
      </c>
      <c r="B11" s="18">
        <v>2573</v>
      </c>
      <c r="C11" s="1">
        <v>1764</v>
      </c>
      <c r="D11" s="2">
        <v>78</v>
      </c>
      <c r="E11" s="3">
        <v>55</v>
      </c>
      <c r="F11" s="1">
        <v>18</v>
      </c>
      <c r="G11" s="1">
        <v>51</v>
      </c>
      <c r="H11" s="1">
        <v>4</v>
      </c>
      <c r="I11" s="4">
        <v>0</v>
      </c>
      <c r="J11" s="4"/>
      <c r="K11" s="5">
        <v>1</v>
      </c>
      <c r="L11" s="4" t="s">
        <v>27</v>
      </c>
      <c r="M11" s="6">
        <f t="shared" si="0"/>
        <v>5</v>
      </c>
      <c r="N11" s="7">
        <f t="shared" si="3"/>
        <v>0.148148148148148</v>
      </c>
      <c r="O11" s="7">
        <f t="shared" si="1"/>
        <v>0</v>
      </c>
      <c r="P11" s="7">
        <f t="shared" si="2"/>
        <v>0.25</v>
      </c>
      <c r="Q11" s="38" t="s">
        <v>23</v>
      </c>
    </row>
    <row r="12" s="1" customFormat="1" spans="1:17">
      <c r="A12" s="17">
        <v>44483</v>
      </c>
      <c r="B12" s="18">
        <v>2377</v>
      </c>
      <c r="C12" s="1">
        <v>1908</v>
      </c>
      <c r="D12" s="2">
        <v>83</v>
      </c>
      <c r="E12" s="3">
        <v>13</v>
      </c>
      <c r="F12" s="1">
        <v>19</v>
      </c>
      <c r="G12" s="1">
        <v>64</v>
      </c>
      <c r="H12" s="1">
        <v>9</v>
      </c>
      <c r="I12" s="4"/>
      <c r="J12" s="4"/>
      <c r="K12" s="5">
        <v>0</v>
      </c>
      <c r="L12" s="4"/>
      <c r="M12" s="6">
        <f t="shared" si="0"/>
        <v>9</v>
      </c>
      <c r="N12" s="7">
        <f t="shared" si="3"/>
        <v>0.176470588235294</v>
      </c>
      <c r="O12" s="7">
        <f t="shared" si="1"/>
        <v>0</v>
      </c>
      <c r="P12" s="7">
        <f t="shared" si="2"/>
        <v>0</v>
      </c>
      <c r="Q12" s="38" t="s">
        <v>23</v>
      </c>
    </row>
    <row r="13" s="1" customFormat="1" spans="1:17">
      <c r="A13" s="17">
        <v>44484</v>
      </c>
      <c r="B13" s="22">
        <v>1294</v>
      </c>
      <c r="C13" s="21">
        <v>3107</v>
      </c>
      <c r="D13" s="2">
        <v>42</v>
      </c>
      <c r="E13" s="23">
        <v>38</v>
      </c>
      <c r="F13" s="24">
        <v>42</v>
      </c>
      <c r="G13" s="1">
        <v>26</v>
      </c>
      <c r="H13" s="1">
        <v>1</v>
      </c>
      <c r="I13" s="4">
        <v>1</v>
      </c>
      <c r="J13" s="4" t="s">
        <v>28</v>
      </c>
      <c r="K13" s="4">
        <v>0</v>
      </c>
      <c r="L13" s="4"/>
      <c r="M13" s="6">
        <f t="shared" si="0"/>
        <v>2</v>
      </c>
      <c r="N13" s="7">
        <f t="shared" si="3"/>
        <v>0.015625</v>
      </c>
      <c r="O13" s="7">
        <f t="shared" si="1"/>
        <v>0.111111111111111</v>
      </c>
      <c r="P13" s="7">
        <v>0</v>
      </c>
      <c r="Q13" s="38" t="s">
        <v>23</v>
      </c>
    </row>
    <row r="14" s="1" customFormat="1" spans="1:17">
      <c r="A14" s="20">
        <v>44487</v>
      </c>
      <c r="B14" s="25">
        <v>2726</v>
      </c>
      <c r="C14" s="1">
        <v>1663</v>
      </c>
      <c r="D14" s="2">
        <v>91</v>
      </c>
      <c r="E14" s="3">
        <v>12</v>
      </c>
      <c r="F14" s="1">
        <v>11</v>
      </c>
      <c r="G14" s="1">
        <v>68</v>
      </c>
      <c r="H14" s="1">
        <v>5</v>
      </c>
      <c r="I14" s="4">
        <v>0</v>
      </c>
      <c r="J14" s="4"/>
      <c r="K14" s="4">
        <v>1</v>
      </c>
      <c r="L14" s="4" t="s">
        <v>29</v>
      </c>
      <c r="M14" s="6">
        <f t="shared" si="0"/>
        <v>6</v>
      </c>
      <c r="N14" s="7">
        <f t="shared" si="3"/>
        <v>0.192307692307692</v>
      </c>
      <c r="O14" s="7">
        <f t="shared" si="1"/>
        <v>0</v>
      </c>
      <c r="P14" s="7">
        <f t="shared" ref="P14:P18" si="4">K14/(I13+K13)</f>
        <v>1</v>
      </c>
      <c r="Q14" s="37" t="s">
        <v>21</v>
      </c>
    </row>
    <row r="15" s="1" customFormat="1" spans="1:17">
      <c r="A15" s="17">
        <v>44488</v>
      </c>
      <c r="B15" s="22">
        <v>2290</v>
      </c>
      <c r="C15" s="1">
        <v>2019</v>
      </c>
      <c r="D15" s="2">
        <v>84</v>
      </c>
      <c r="E15" s="3">
        <v>8</v>
      </c>
      <c r="F15" s="1">
        <v>18</v>
      </c>
      <c r="G15" s="1">
        <v>57</v>
      </c>
      <c r="H15" s="1">
        <v>8</v>
      </c>
      <c r="I15" s="4">
        <v>0</v>
      </c>
      <c r="J15" s="4"/>
      <c r="K15" s="4">
        <v>0</v>
      </c>
      <c r="L15" s="4"/>
      <c r="M15" s="33">
        <f t="shared" si="0"/>
        <v>8</v>
      </c>
      <c r="N15" s="7">
        <f t="shared" si="3"/>
        <v>0.117647058823529</v>
      </c>
      <c r="O15" s="7">
        <f t="shared" si="1"/>
        <v>0</v>
      </c>
      <c r="P15" s="7">
        <f t="shared" si="4"/>
        <v>0</v>
      </c>
      <c r="Q15" s="38" t="s">
        <v>23</v>
      </c>
    </row>
    <row r="16" s="1" customFormat="1" spans="1:17">
      <c r="A16" s="17">
        <v>44489</v>
      </c>
      <c r="B16" s="22">
        <v>1599</v>
      </c>
      <c r="C16" s="21">
        <v>2782</v>
      </c>
      <c r="D16" s="2">
        <v>60</v>
      </c>
      <c r="E16" s="3">
        <v>21</v>
      </c>
      <c r="F16" s="1">
        <v>31</v>
      </c>
      <c r="G16" s="1">
        <v>39</v>
      </c>
      <c r="H16" s="1">
        <v>4</v>
      </c>
      <c r="I16" s="4">
        <v>2</v>
      </c>
      <c r="J16" s="4" t="s">
        <v>30</v>
      </c>
      <c r="K16" s="5"/>
      <c r="L16" s="4"/>
      <c r="M16" s="6">
        <f t="shared" si="0"/>
        <v>6</v>
      </c>
      <c r="N16" s="7">
        <f t="shared" si="3"/>
        <v>0.0701754385964912</v>
      </c>
      <c r="O16" s="7">
        <f t="shared" si="1"/>
        <v>0.25</v>
      </c>
      <c r="P16" s="7">
        <v>0</v>
      </c>
      <c r="Q16" s="38" t="s">
        <v>23</v>
      </c>
    </row>
    <row r="17" s="1" customFormat="1" spans="1:17">
      <c r="A17" s="17">
        <v>44490</v>
      </c>
      <c r="B17" s="22">
        <v>1340</v>
      </c>
      <c r="C17" s="21">
        <v>3037</v>
      </c>
      <c r="D17" s="2">
        <v>50</v>
      </c>
      <c r="E17" s="3">
        <v>6</v>
      </c>
      <c r="F17" s="1">
        <v>33</v>
      </c>
      <c r="G17" s="1">
        <v>30</v>
      </c>
      <c r="H17" s="1">
        <v>5</v>
      </c>
      <c r="I17" s="4">
        <v>0</v>
      </c>
      <c r="J17" s="4"/>
      <c r="K17" s="4">
        <v>2</v>
      </c>
      <c r="L17" s="4" t="s">
        <v>31</v>
      </c>
      <c r="M17" s="6">
        <f t="shared" si="0"/>
        <v>7</v>
      </c>
      <c r="N17" s="7">
        <f t="shared" si="3"/>
        <v>0.128205128205128</v>
      </c>
      <c r="O17" s="7">
        <f t="shared" si="1"/>
        <v>0</v>
      </c>
      <c r="P17" s="7">
        <f t="shared" si="4"/>
        <v>1</v>
      </c>
      <c r="Q17" s="37" t="s">
        <v>21</v>
      </c>
    </row>
    <row r="18" s="1" customFormat="1" spans="1:17">
      <c r="A18" s="17">
        <v>44491</v>
      </c>
      <c r="B18" s="22">
        <v>1367</v>
      </c>
      <c r="C18" s="21">
        <v>2986</v>
      </c>
      <c r="D18" s="2">
        <v>50</v>
      </c>
      <c r="E18" s="3">
        <v>15</v>
      </c>
      <c r="F18" s="1">
        <v>28</v>
      </c>
      <c r="G18" s="1">
        <v>35</v>
      </c>
      <c r="H18" s="1">
        <v>3</v>
      </c>
      <c r="I18" s="4">
        <v>0</v>
      </c>
      <c r="J18" s="4"/>
      <c r="K18" s="4">
        <v>0</v>
      </c>
      <c r="L18" s="4"/>
      <c r="M18" s="6">
        <f t="shared" si="0"/>
        <v>3</v>
      </c>
      <c r="N18" s="7">
        <f t="shared" si="3"/>
        <v>0.1</v>
      </c>
      <c r="O18" s="7">
        <f t="shared" si="1"/>
        <v>0</v>
      </c>
      <c r="P18" s="7">
        <f t="shared" si="4"/>
        <v>0</v>
      </c>
      <c r="Q18" s="38" t="s">
        <v>23</v>
      </c>
    </row>
    <row r="19" s="1" customFormat="1" spans="1:17">
      <c r="A19" s="20">
        <v>44494</v>
      </c>
      <c r="B19" s="25">
        <v>2515</v>
      </c>
      <c r="C19" s="1">
        <v>1859</v>
      </c>
      <c r="D19" s="2">
        <v>79</v>
      </c>
      <c r="E19" s="3">
        <v>9</v>
      </c>
      <c r="F19" s="1">
        <v>23</v>
      </c>
      <c r="G19" s="1">
        <v>57</v>
      </c>
      <c r="H19" s="1">
        <v>5</v>
      </c>
      <c r="I19" s="4">
        <v>1</v>
      </c>
      <c r="J19" s="4" t="s">
        <v>32</v>
      </c>
      <c r="K19" s="4">
        <v>0</v>
      </c>
      <c r="L19" s="4"/>
      <c r="M19" s="6">
        <f t="shared" si="0"/>
        <v>6</v>
      </c>
      <c r="N19" s="7">
        <f t="shared" si="3"/>
        <v>0.142857142857143</v>
      </c>
      <c r="O19" s="7">
        <f t="shared" si="1"/>
        <v>0.333333333333333</v>
      </c>
      <c r="P19" s="7">
        <v>0</v>
      </c>
      <c r="Q19" s="37" t="s">
        <v>21</v>
      </c>
    </row>
    <row r="20" s="1" customFormat="1" spans="1:17">
      <c r="A20" s="17">
        <v>44495</v>
      </c>
      <c r="B20" s="22">
        <v>1600</v>
      </c>
      <c r="C20" s="21">
        <v>2784</v>
      </c>
      <c r="D20" s="2">
        <v>43</v>
      </c>
      <c r="E20" s="3">
        <v>17</v>
      </c>
      <c r="F20" s="21">
        <v>43</v>
      </c>
      <c r="G20" s="1">
        <v>28</v>
      </c>
      <c r="H20" s="1">
        <v>0</v>
      </c>
      <c r="I20" s="4">
        <v>2</v>
      </c>
      <c r="J20" s="4" t="s">
        <v>33</v>
      </c>
      <c r="K20" s="4">
        <v>0</v>
      </c>
      <c r="L20" s="4"/>
      <c r="M20" s="6">
        <f t="shared" si="0"/>
        <v>2</v>
      </c>
      <c r="N20" s="7">
        <f t="shared" si="3"/>
        <v>0</v>
      </c>
      <c r="O20" s="7">
        <f t="shared" si="1"/>
        <v>0.4</v>
      </c>
      <c r="P20" s="7">
        <f t="shared" ref="P20:P83" si="5">K20/(I19+K19)</f>
        <v>0</v>
      </c>
      <c r="Q20" s="38" t="s">
        <v>23</v>
      </c>
    </row>
    <row r="21" s="1" customFormat="1" spans="1:17">
      <c r="A21" s="17">
        <v>44496</v>
      </c>
      <c r="B21" s="22">
        <v>902</v>
      </c>
      <c r="C21" s="21">
        <v>3539</v>
      </c>
      <c r="D21" s="2">
        <v>52</v>
      </c>
      <c r="E21" s="3">
        <v>26</v>
      </c>
      <c r="F21" s="1">
        <v>12</v>
      </c>
      <c r="G21" s="1">
        <v>36</v>
      </c>
      <c r="H21" s="1">
        <v>2</v>
      </c>
      <c r="I21" s="4">
        <v>0</v>
      </c>
      <c r="J21" s="4"/>
      <c r="K21" s="4">
        <v>2</v>
      </c>
      <c r="L21" s="4" t="s">
        <v>34</v>
      </c>
      <c r="M21" s="6">
        <f t="shared" si="0"/>
        <v>4</v>
      </c>
      <c r="N21" s="7">
        <f t="shared" si="3"/>
        <v>0.0714285714285714</v>
      </c>
      <c r="O21" s="7">
        <v>0</v>
      </c>
      <c r="P21" s="7">
        <f t="shared" si="5"/>
        <v>1</v>
      </c>
      <c r="Q21" s="37" t="s">
        <v>21</v>
      </c>
    </row>
    <row r="22" s="1" customFormat="1" spans="1:17">
      <c r="A22" s="17">
        <v>44497</v>
      </c>
      <c r="B22" s="22">
        <v>1033</v>
      </c>
      <c r="C22" s="21">
        <v>3404</v>
      </c>
      <c r="D22" s="2">
        <v>54</v>
      </c>
      <c r="E22" s="26">
        <v>57</v>
      </c>
      <c r="F22" s="1">
        <v>29</v>
      </c>
      <c r="G22" s="1">
        <v>35</v>
      </c>
      <c r="H22" s="1">
        <v>2</v>
      </c>
      <c r="I22" s="4">
        <v>1</v>
      </c>
      <c r="J22" s="4" t="s">
        <v>35</v>
      </c>
      <c r="K22" s="4">
        <v>0</v>
      </c>
      <c r="L22" s="4"/>
      <c r="M22" s="6">
        <f t="shared" si="0"/>
        <v>3</v>
      </c>
      <c r="N22" s="7">
        <f t="shared" si="3"/>
        <v>0.0555555555555556</v>
      </c>
      <c r="O22" s="7">
        <f t="shared" ref="O22:O85" si="6">I22/H21</f>
        <v>0.5</v>
      </c>
      <c r="P22" s="7">
        <f t="shared" si="5"/>
        <v>0</v>
      </c>
      <c r="Q22" s="38" t="s">
        <v>23</v>
      </c>
    </row>
    <row r="23" s="1" customFormat="1" spans="1:17">
      <c r="A23" s="17">
        <v>44498</v>
      </c>
      <c r="B23" s="25">
        <v>3500</v>
      </c>
      <c r="C23" s="1">
        <v>949</v>
      </c>
      <c r="D23" s="2">
        <v>86</v>
      </c>
      <c r="E23" s="3">
        <v>14</v>
      </c>
      <c r="F23" s="1">
        <v>20</v>
      </c>
      <c r="G23" s="1">
        <v>61</v>
      </c>
      <c r="H23" s="1">
        <v>4</v>
      </c>
      <c r="I23" s="4">
        <v>1</v>
      </c>
      <c r="J23" s="4" t="s">
        <v>36</v>
      </c>
      <c r="K23" s="4">
        <v>0</v>
      </c>
      <c r="L23" s="4"/>
      <c r="M23" s="6">
        <f t="shared" si="0"/>
        <v>5</v>
      </c>
      <c r="N23" s="7">
        <f t="shared" si="3"/>
        <v>0.114285714285714</v>
      </c>
      <c r="O23" s="7">
        <f t="shared" si="6"/>
        <v>0.5</v>
      </c>
      <c r="P23" s="7">
        <f t="shared" si="5"/>
        <v>0</v>
      </c>
      <c r="Q23" s="37" t="s">
        <v>21</v>
      </c>
    </row>
    <row r="24" s="1" customFormat="1" spans="1:17">
      <c r="A24" s="20">
        <v>44501</v>
      </c>
      <c r="B24" s="18">
        <v>3111</v>
      </c>
      <c r="C24" s="1">
        <v>1269</v>
      </c>
      <c r="D24" s="2">
        <v>103</v>
      </c>
      <c r="E24" s="3">
        <v>16</v>
      </c>
      <c r="F24" s="1">
        <v>28</v>
      </c>
      <c r="G24" s="1">
        <v>77</v>
      </c>
      <c r="H24" s="1">
        <v>11</v>
      </c>
      <c r="I24" s="4">
        <v>3</v>
      </c>
      <c r="J24" s="4" t="s">
        <v>37</v>
      </c>
      <c r="K24" s="5">
        <v>0</v>
      </c>
      <c r="L24" s="4"/>
      <c r="M24" s="33">
        <f t="shared" si="0"/>
        <v>14</v>
      </c>
      <c r="N24" s="7">
        <f t="shared" si="3"/>
        <v>0.180327868852459</v>
      </c>
      <c r="O24" s="7">
        <f t="shared" si="6"/>
        <v>0.75</v>
      </c>
      <c r="P24" s="7">
        <f t="shared" si="5"/>
        <v>0</v>
      </c>
      <c r="Q24" s="37" t="s">
        <v>21</v>
      </c>
    </row>
    <row r="25" s="1" customFormat="1" spans="1:17">
      <c r="A25" s="17">
        <v>44502</v>
      </c>
      <c r="B25" s="1">
        <v>1111</v>
      </c>
      <c r="C25" s="21">
        <v>3364</v>
      </c>
      <c r="D25" s="2">
        <v>52</v>
      </c>
      <c r="E25" s="3">
        <v>29</v>
      </c>
      <c r="F25" s="1">
        <v>25</v>
      </c>
      <c r="G25" s="1">
        <v>35</v>
      </c>
      <c r="H25" s="1">
        <v>8</v>
      </c>
      <c r="I25" s="4">
        <v>1</v>
      </c>
      <c r="J25" s="4" t="s">
        <v>38</v>
      </c>
      <c r="K25" s="5">
        <v>0</v>
      </c>
      <c r="L25" s="4"/>
      <c r="M25" s="6">
        <f t="shared" si="0"/>
        <v>9</v>
      </c>
      <c r="N25" s="7">
        <f t="shared" si="3"/>
        <v>0.103896103896104</v>
      </c>
      <c r="O25" s="7">
        <f t="shared" si="6"/>
        <v>0.0909090909090909</v>
      </c>
      <c r="P25" s="7">
        <f t="shared" si="5"/>
        <v>0</v>
      </c>
      <c r="Q25" s="38" t="s">
        <v>23</v>
      </c>
    </row>
    <row r="26" s="1" customFormat="1" spans="1:17">
      <c r="A26" s="17">
        <v>44503</v>
      </c>
      <c r="B26" s="18">
        <v>2958</v>
      </c>
      <c r="C26" s="1">
        <v>1410</v>
      </c>
      <c r="D26" s="2">
        <v>63</v>
      </c>
      <c r="E26" s="3">
        <v>11</v>
      </c>
      <c r="F26" s="1">
        <v>17</v>
      </c>
      <c r="G26" s="1">
        <v>44</v>
      </c>
      <c r="H26" s="1">
        <v>1</v>
      </c>
      <c r="I26" s="4">
        <v>1</v>
      </c>
      <c r="J26" s="4" t="s">
        <v>39</v>
      </c>
      <c r="K26" s="5">
        <v>1</v>
      </c>
      <c r="L26" s="4" t="s">
        <v>40</v>
      </c>
      <c r="M26" s="6">
        <f t="shared" si="0"/>
        <v>3</v>
      </c>
      <c r="N26" s="7">
        <f t="shared" si="3"/>
        <v>0.0285714285714286</v>
      </c>
      <c r="O26" s="7">
        <f t="shared" si="6"/>
        <v>0.125</v>
      </c>
      <c r="P26" s="7">
        <f t="shared" si="5"/>
        <v>1</v>
      </c>
      <c r="Q26" s="37" t="s">
        <v>21</v>
      </c>
    </row>
    <row r="27" s="1" customFormat="1" spans="1:17">
      <c r="A27" s="17">
        <v>44504</v>
      </c>
      <c r="B27" s="18">
        <v>3311</v>
      </c>
      <c r="C27" s="1">
        <v>1053</v>
      </c>
      <c r="D27" s="2">
        <v>125</v>
      </c>
      <c r="E27" s="19">
        <v>2</v>
      </c>
      <c r="F27" s="1">
        <v>15</v>
      </c>
      <c r="G27" s="1">
        <v>86</v>
      </c>
      <c r="H27" s="1">
        <v>8</v>
      </c>
      <c r="I27" s="4">
        <v>1</v>
      </c>
      <c r="J27" s="4" t="s">
        <v>41</v>
      </c>
      <c r="K27" s="4">
        <v>2</v>
      </c>
      <c r="L27" s="34" t="s">
        <v>42</v>
      </c>
      <c r="M27" s="33">
        <f t="shared" si="0"/>
        <v>11</v>
      </c>
      <c r="N27" s="7">
        <f t="shared" si="3"/>
        <v>0.181818181818182</v>
      </c>
      <c r="O27" s="7">
        <f t="shared" si="6"/>
        <v>1</v>
      </c>
      <c r="P27" s="7">
        <f t="shared" si="5"/>
        <v>1</v>
      </c>
      <c r="Q27" s="37" t="s">
        <v>21</v>
      </c>
    </row>
    <row r="28" s="1" customFormat="1" spans="1:17">
      <c r="A28" s="17">
        <v>44505</v>
      </c>
      <c r="B28" s="1">
        <v>1794</v>
      </c>
      <c r="C28" s="21">
        <v>2608</v>
      </c>
      <c r="D28" s="2">
        <v>69</v>
      </c>
      <c r="E28" s="3">
        <v>28</v>
      </c>
      <c r="F28" s="1">
        <v>24</v>
      </c>
      <c r="G28" s="1">
        <v>33</v>
      </c>
      <c r="H28" s="1">
        <v>12</v>
      </c>
      <c r="I28" s="4">
        <v>3</v>
      </c>
      <c r="J28" s="4" t="s">
        <v>43</v>
      </c>
      <c r="K28" s="5">
        <v>1</v>
      </c>
      <c r="L28" s="4" t="s">
        <v>44</v>
      </c>
      <c r="M28" s="33">
        <f t="shared" si="0"/>
        <v>16</v>
      </c>
      <c r="N28" s="7">
        <f t="shared" si="3"/>
        <v>0.13953488372093</v>
      </c>
      <c r="O28" s="7">
        <f t="shared" si="6"/>
        <v>0.375</v>
      </c>
      <c r="P28" s="7">
        <f t="shared" si="5"/>
        <v>0.333333333333333</v>
      </c>
      <c r="Q28" s="38" t="s">
        <v>23</v>
      </c>
    </row>
    <row r="29" s="1" customFormat="1" spans="1:17">
      <c r="A29" s="20">
        <v>44508</v>
      </c>
      <c r="B29" s="18">
        <v>2591</v>
      </c>
      <c r="C29" s="1">
        <v>1792</v>
      </c>
      <c r="D29" s="2">
        <v>97</v>
      </c>
      <c r="E29" s="3">
        <v>4</v>
      </c>
      <c r="F29" s="1">
        <v>20</v>
      </c>
      <c r="G29" s="1">
        <v>47</v>
      </c>
      <c r="H29" s="1">
        <v>5</v>
      </c>
      <c r="I29" s="4">
        <v>3</v>
      </c>
      <c r="J29" s="4" t="s">
        <v>45</v>
      </c>
      <c r="K29" s="5">
        <v>2</v>
      </c>
      <c r="L29" s="4" t="s">
        <v>46</v>
      </c>
      <c r="M29" s="33">
        <f t="shared" si="0"/>
        <v>10</v>
      </c>
      <c r="N29" s="7">
        <f t="shared" si="3"/>
        <v>0.151515151515152</v>
      </c>
      <c r="O29" s="7">
        <f t="shared" si="6"/>
        <v>0.25</v>
      </c>
      <c r="P29" s="7">
        <f t="shared" si="5"/>
        <v>0.5</v>
      </c>
      <c r="Q29" s="37" t="s">
        <v>21</v>
      </c>
    </row>
    <row r="30" s="1" customFormat="1" spans="1:17">
      <c r="A30" s="17">
        <v>44509</v>
      </c>
      <c r="B30" s="18">
        <v>3098</v>
      </c>
      <c r="C30" s="1">
        <v>1225</v>
      </c>
      <c r="D30" s="2">
        <v>95</v>
      </c>
      <c r="E30" s="3">
        <v>3</v>
      </c>
      <c r="F30" s="1">
        <v>21</v>
      </c>
      <c r="G30" s="1">
        <v>47</v>
      </c>
      <c r="H30" s="1">
        <v>9</v>
      </c>
      <c r="I30" s="4">
        <v>3</v>
      </c>
      <c r="J30" s="4" t="s">
        <v>47</v>
      </c>
      <c r="K30" s="5">
        <v>0</v>
      </c>
      <c r="L30" s="4"/>
      <c r="M30" s="33">
        <f t="shared" si="0"/>
        <v>12</v>
      </c>
      <c r="N30" s="7">
        <f t="shared" si="3"/>
        <v>0.191489361702128</v>
      </c>
      <c r="O30" s="7">
        <f t="shared" si="6"/>
        <v>0.6</v>
      </c>
      <c r="P30" s="7">
        <f t="shared" si="5"/>
        <v>0</v>
      </c>
      <c r="Q30" s="38" t="s">
        <v>23</v>
      </c>
    </row>
    <row r="31" s="1" customFormat="1" spans="1:17">
      <c r="A31" s="17">
        <v>44510</v>
      </c>
      <c r="B31" s="18">
        <v>2727</v>
      </c>
      <c r="C31" s="1">
        <v>1592</v>
      </c>
      <c r="D31" s="2">
        <v>66</v>
      </c>
      <c r="E31" s="3">
        <v>3</v>
      </c>
      <c r="F31" s="1">
        <v>31</v>
      </c>
      <c r="G31" s="1">
        <v>37</v>
      </c>
      <c r="H31" s="1">
        <v>4</v>
      </c>
      <c r="I31" s="4">
        <v>3</v>
      </c>
      <c r="J31" s="4" t="s">
        <v>48</v>
      </c>
      <c r="K31" s="5">
        <v>2</v>
      </c>
      <c r="L31" s="4" t="s">
        <v>49</v>
      </c>
      <c r="M31" s="6">
        <f t="shared" si="0"/>
        <v>9</v>
      </c>
      <c r="N31" s="7">
        <f t="shared" si="3"/>
        <v>0.0851063829787234</v>
      </c>
      <c r="O31" s="7">
        <f t="shared" si="6"/>
        <v>0.333333333333333</v>
      </c>
      <c r="P31" s="7">
        <f t="shared" si="5"/>
        <v>0.666666666666667</v>
      </c>
      <c r="Q31" s="37" t="s">
        <v>21</v>
      </c>
    </row>
    <row r="32" s="1" customFormat="1" spans="1:17">
      <c r="A32" s="17">
        <v>44511</v>
      </c>
      <c r="B32" s="18">
        <v>3014</v>
      </c>
      <c r="C32" s="1">
        <v>1373</v>
      </c>
      <c r="D32" s="2">
        <v>89</v>
      </c>
      <c r="E32" s="3">
        <v>6</v>
      </c>
      <c r="F32" s="1">
        <v>23</v>
      </c>
      <c r="G32" s="1">
        <v>61</v>
      </c>
      <c r="H32" s="1">
        <v>5</v>
      </c>
      <c r="I32" s="4">
        <v>1</v>
      </c>
      <c r="J32" s="4" t="s">
        <v>50</v>
      </c>
      <c r="K32" s="5">
        <v>3</v>
      </c>
      <c r="L32" s="4" t="s">
        <v>51</v>
      </c>
      <c r="M32" s="6">
        <f t="shared" si="0"/>
        <v>9</v>
      </c>
      <c r="N32" s="7">
        <f t="shared" si="3"/>
        <v>0.135135135135135</v>
      </c>
      <c r="O32" s="7">
        <f t="shared" si="6"/>
        <v>0.25</v>
      </c>
      <c r="P32" s="7">
        <f t="shared" si="5"/>
        <v>0.6</v>
      </c>
      <c r="Q32" s="37" t="s">
        <v>21</v>
      </c>
    </row>
    <row r="33" s="1" customFormat="1" spans="1:17">
      <c r="A33" s="17">
        <v>44512</v>
      </c>
      <c r="B33" s="18">
        <v>2710</v>
      </c>
      <c r="C33" s="1">
        <v>1624</v>
      </c>
      <c r="D33" s="2">
        <v>95</v>
      </c>
      <c r="E33" s="3">
        <v>6</v>
      </c>
      <c r="F33" s="1">
        <v>25</v>
      </c>
      <c r="G33" s="1">
        <v>74</v>
      </c>
      <c r="H33" s="1">
        <v>9</v>
      </c>
      <c r="I33" s="4">
        <v>0</v>
      </c>
      <c r="J33" s="4"/>
      <c r="K33" s="5">
        <v>1</v>
      </c>
      <c r="L33" s="4" t="s">
        <v>52</v>
      </c>
      <c r="M33" s="33">
        <f t="shared" si="0"/>
        <v>10</v>
      </c>
      <c r="N33" s="7">
        <f t="shared" si="3"/>
        <v>0.147540983606557</v>
      </c>
      <c r="O33" s="7">
        <f t="shared" si="6"/>
        <v>0</v>
      </c>
      <c r="P33" s="7">
        <f t="shared" si="5"/>
        <v>0.25</v>
      </c>
      <c r="Q33" s="38" t="s">
        <v>23</v>
      </c>
    </row>
    <row r="34" s="1" customFormat="1" spans="1:17">
      <c r="A34" s="20">
        <v>44515</v>
      </c>
      <c r="B34" s="18">
        <v>3023</v>
      </c>
      <c r="C34" s="1">
        <v>1398</v>
      </c>
      <c r="D34" s="2">
        <v>87</v>
      </c>
      <c r="E34" s="3">
        <v>25</v>
      </c>
      <c r="F34" s="1">
        <v>26</v>
      </c>
      <c r="G34" s="1">
        <v>64</v>
      </c>
      <c r="H34" s="1">
        <v>10</v>
      </c>
      <c r="I34" s="4">
        <v>2</v>
      </c>
      <c r="J34" s="4" t="s">
        <v>53</v>
      </c>
      <c r="K34" s="5">
        <v>1</v>
      </c>
      <c r="L34" s="4" t="s">
        <v>54</v>
      </c>
      <c r="M34" s="33">
        <f t="shared" si="0"/>
        <v>13</v>
      </c>
      <c r="N34" s="7">
        <f t="shared" si="3"/>
        <v>0.135135135135135</v>
      </c>
      <c r="O34" s="7">
        <f t="shared" si="6"/>
        <v>0.222222222222222</v>
      </c>
      <c r="P34" s="7">
        <f t="shared" si="5"/>
        <v>1</v>
      </c>
      <c r="Q34" s="37" t="s">
        <v>21</v>
      </c>
    </row>
    <row r="35" s="1" customFormat="1" spans="1:17">
      <c r="A35" s="17">
        <v>44516</v>
      </c>
      <c r="B35" s="1">
        <v>1230</v>
      </c>
      <c r="C35" s="21">
        <v>3201</v>
      </c>
      <c r="D35" s="2">
        <v>76</v>
      </c>
      <c r="E35" s="3">
        <v>8</v>
      </c>
      <c r="F35" s="1">
        <v>21</v>
      </c>
      <c r="G35" s="1">
        <v>50</v>
      </c>
      <c r="H35" s="1">
        <v>8</v>
      </c>
      <c r="I35" s="4">
        <v>1</v>
      </c>
      <c r="J35" s="4" t="s">
        <v>55</v>
      </c>
      <c r="K35" s="5">
        <v>1</v>
      </c>
      <c r="L35" s="4" t="s">
        <v>56</v>
      </c>
      <c r="M35" s="33">
        <f t="shared" si="0"/>
        <v>10</v>
      </c>
      <c r="N35" s="7">
        <f t="shared" si="3"/>
        <v>0.125</v>
      </c>
      <c r="O35" s="7">
        <f t="shared" si="6"/>
        <v>0.1</v>
      </c>
      <c r="P35" s="7">
        <f t="shared" si="5"/>
        <v>0.333333333333333</v>
      </c>
      <c r="Q35" s="38" t="s">
        <v>23</v>
      </c>
    </row>
    <row r="36" s="1" customFormat="1" spans="1:17">
      <c r="A36" s="17">
        <v>44517</v>
      </c>
      <c r="B36" s="18">
        <v>3282</v>
      </c>
      <c r="C36" s="1">
        <v>1097</v>
      </c>
      <c r="D36" s="2">
        <v>111</v>
      </c>
      <c r="E36" s="3">
        <v>5</v>
      </c>
      <c r="F36" s="1">
        <v>13</v>
      </c>
      <c r="G36" s="1">
        <v>85</v>
      </c>
      <c r="H36" s="1">
        <v>5</v>
      </c>
      <c r="I36" s="4">
        <v>3</v>
      </c>
      <c r="J36" s="4" t="s">
        <v>57</v>
      </c>
      <c r="K36" s="5">
        <v>1</v>
      </c>
      <c r="L36" s="4" t="s">
        <v>58</v>
      </c>
      <c r="M36" s="6">
        <f t="shared" si="0"/>
        <v>9</v>
      </c>
      <c r="N36" s="7">
        <f t="shared" si="3"/>
        <v>0.1</v>
      </c>
      <c r="O36" s="7">
        <f t="shared" si="6"/>
        <v>0.375</v>
      </c>
      <c r="P36" s="7">
        <f t="shared" si="5"/>
        <v>0.5</v>
      </c>
      <c r="Q36" s="37" t="s">
        <v>21</v>
      </c>
    </row>
    <row r="37" s="1" customFormat="1" spans="1:17">
      <c r="A37" s="17">
        <v>44518</v>
      </c>
      <c r="B37" s="1">
        <v>1277</v>
      </c>
      <c r="C37" s="21">
        <v>3151</v>
      </c>
      <c r="D37" s="2">
        <v>64</v>
      </c>
      <c r="E37" s="3">
        <v>7</v>
      </c>
      <c r="F37" s="1">
        <v>28</v>
      </c>
      <c r="G37" s="1">
        <v>41</v>
      </c>
      <c r="H37" s="1">
        <v>9</v>
      </c>
      <c r="I37" s="4">
        <v>0</v>
      </c>
      <c r="J37" s="4"/>
      <c r="K37" s="5">
        <v>2</v>
      </c>
      <c r="L37" s="4" t="s">
        <v>59</v>
      </c>
      <c r="M37" s="6">
        <f t="shared" si="0"/>
        <v>11</v>
      </c>
      <c r="N37" s="7">
        <f t="shared" si="3"/>
        <v>0.105882352941176</v>
      </c>
      <c r="O37" s="7">
        <f t="shared" si="6"/>
        <v>0</v>
      </c>
      <c r="P37" s="7">
        <f t="shared" si="5"/>
        <v>0.5</v>
      </c>
      <c r="Q37" s="37" t="s">
        <v>21</v>
      </c>
    </row>
    <row r="38" s="1" customFormat="1" spans="1:17">
      <c r="A38" s="17">
        <v>44519</v>
      </c>
      <c r="B38" s="18">
        <v>3295</v>
      </c>
      <c r="C38" s="1">
        <v>1116</v>
      </c>
      <c r="D38" s="2">
        <v>88</v>
      </c>
      <c r="E38" s="3">
        <v>4</v>
      </c>
      <c r="F38" s="1">
        <v>20</v>
      </c>
      <c r="G38" s="1">
        <v>63</v>
      </c>
      <c r="H38" s="1">
        <v>5</v>
      </c>
      <c r="I38" s="4">
        <v>1</v>
      </c>
      <c r="J38" s="4" t="s">
        <v>60</v>
      </c>
      <c r="K38" s="5">
        <v>1</v>
      </c>
      <c r="L38" s="4" t="s">
        <v>61</v>
      </c>
      <c r="M38" s="6">
        <f t="shared" si="0"/>
        <v>7</v>
      </c>
      <c r="N38" s="7">
        <f t="shared" si="3"/>
        <v>0.121951219512195</v>
      </c>
      <c r="O38" s="7">
        <f t="shared" si="6"/>
        <v>0.111111111111111</v>
      </c>
      <c r="P38" s="7">
        <f t="shared" si="5"/>
        <v>0.5</v>
      </c>
      <c r="Q38" s="37" t="s">
        <v>21</v>
      </c>
    </row>
    <row r="39" s="1" customFormat="1" spans="1:17">
      <c r="A39" s="20">
        <v>44522</v>
      </c>
      <c r="B39" s="18">
        <v>2417</v>
      </c>
      <c r="C39" s="1">
        <v>1953</v>
      </c>
      <c r="D39" s="2">
        <v>100</v>
      </c>
      <c r="E39" s="3">
        <v>17</v>
      </c>
      <c r="F39" s="1">
        <v>15</v>
      </c>
      <c r="G39" s="1">
        <v>73</v>
      </c>
      <c r="H39" s="1">
        <v>11</v>
      </c>
      <c r="I39" s="4">
        <v>2</v>
      </c>
      <c r="J39" s="4" t="s">
        <v>62</v>
      </c>
      <c r="K39" s="5">
        <v>1</v>
      </c>
      <c r="L39" s="4" t="s">
        <v>63</v>
      </c>
      <c r="M39" s="6">
        <f t="shared" si="0"/>
        <v>14</v>
      </c>
      <c r="N39" s="7">
        <f t="shared" si="3"/>
        <v>0.174603174603175</v>
      </c>
      <c r="O39" s="7">
        <f t="shared" si="6"/>
        <v>0.4</v>
      </c>
      <c r="P39" s="7">
        <f t="shared" si="5"/>
        <v>0.5</v>
      </c>
      <c r="Q39" s="37" t="s">
        <v>21</v>
      </c>
    </row>
    <row r="40" s="1" customFormat="1" spans="1:17">
      <c r="A40" s="17">
        <v>44523</v>
      </c>
      <c r="B40" s="18">
        <v>2396</v>
      </c>
      <c r="C40" s="1">
        <v>1945</v>
      </c>
      <c r="D40" s="2">
        <v>76</v>
      </c>
      <c r="E40" s="3">
        <v>6</v>
      </c>
      <c r="F40" s="1">
        <v>26</v>
      </c>
      <c r="G40" s="1">
        <v>47</v>
      </c>
      <c r="H40" s="1">
        <v>8</v>
      </c>
      <c r="I40" s="4">
        <v>2</v>
      </c>
      <c r="J40" s="4" t="s">
        <v>64</v>
      </c>
      <c r="K40" s="5">
        <v>2</v>
      </c>
      <c r="L40" s="4" t="s">
        <v>65</v>
      </c>
      <c r="M40" s="6">
        <f t="shared" si="0"/>
        <v>12</v>
      </c>
      <c r="N40" s="7">
        <f t="shared" si="3"/>
        <v>0.10958904109589</v>
      </c>
      <c r="O40" s="7">
        <f t="shared" si="6"/>
        <v>0.181818181818182</v>
      </c>
      <c r="P40" s="7">
        <f t="shared" si="5"/>
        <v>0.666666666666667</v>
      </c>
      <c r="Q40" s="37" t="s">
        <v>21</v>
      </c>
    </row>
    <row r="41" s="1" customFormat="1" spans="1:17">
      <c r="A41" s="17">
        <v>44524</v>
      </c>
      <c r="B41" s="1">
        <v>2304</v>
      </c>
      <c r="C41" s="1">
        <v>2060</v>
      </c>
      <c r="D41" s="2">
        <v>88</v>
      </c>
      <c r="E41" s="3">
        <v>9</v>
      </c>
      <c r="F41" s="1">
        <v>20</v>
      </c>
      <c r="G41" s="1">
        <v>69</v>
      </c>
      <c r="H41" s="1">
        <v>6</v>
      </c>
      <c r="I41" s="4">
        <v>0</v>
      </c>
      <c r="J41" s="4"/>
      <c r="K41" s="5">
        <v>3</v>
      </c>
      <c r="L41" s="4" t="s">
        <v>66</v>
      </c>
      <c r="M41" s="6">
        <f t="shared" si="0"/>
        <v>9</v>
      </c>
      <c r="N41" s="7">
        <f t="shared" si="3"/>
        <v>0.127659574468085</v>
      </c>
      <c r="O41" s="7">
        <f t="shared" si="6"/>
        <v>0</v>
      </c>
      <c r="P41" s="7">
        <f t="shared" si="5"/>
        <v>0.75</v>
      </c>
      <c r="Q41" s="37" t="s">
        <v>21</v>
      </c>
    </row>
    <row r="42" s="1" customFormat="1" spans="1:17">
      <c r="A42" s="17">
        <v>44525</v>
      </c>
      <c r="B42" s="1">
        <v>1976</v>
      </c>
      <c r="C42" s="21">
        <v>2416</v>
      </c>
      <c r="D42" s="2">
        <v>72</v>
      </c>
      <c r="E42" s="3">
        <v>10</v>
      </c>
      <c r="F42" s="1">
        <v>26</v>
      </c>
      <c r="G42" s="1">
        <v>46</v>
      </c>
      <c r="H42" s="1">
        <v>8</v>
      </c>
      <c r="I42" s="4">
        <v>2</v>
      </c>
      <c r="J42" s="4" t="s">
        <v>67</v>
      </c>
      <c r="K42" s="5">
        <v>2</v>
      </c>
      <c r="L42" s="4" t="s">
        <v>68</v>
      </c>
      <c r="M42" s="6">
        <f t="shared" si="0"/>
        <v>12</v>
      </c>
      <c r="N42" s="7">
        <f t="shared" si="3"/>
        <v>0.115942028985507</v>
      </c>
      <c r="O42" s="7">
        <f t="shared" si="6"/>
        <v>0.333333333333333</v>
      </c>
      <c r="P42" s="7">
        <f t="shared" si="5"/>
        <v>0.666666666666667</v>
      </c>
      <c r="Q42" s="38" t="s">
        <v>23</v>
      </c>
    </row>
    <row r="43" s="1" customFormat="1" spans="1:17">
      <c r="A43" s="17">
        <v>44526</v>
      </c>
      <c r="B43" s="1">
        <v>1545</v>
      </c>
      <c r="C43" s="21">
        <v>2906</v>
      </c>
      <c r="D43" s="2">
        <v>67</v>
      </c>
      <c r="E43" s="3">
        <v>5</v>
      </c>
      <c r="F43" s="1">
        <v>29</v>
      </c>
      <c r="G43" s="1">
        <v>42</v>
      </c>
      <c r="H43" s="1">
        <v>7</v>
      </c>
      <c r="I43" s="4">
        <v>1</v>
      </c>
      <c r="J43" s="4" t="s">
        <v>69</v>
      </c>
      <c r="K43" s="5">
        <v>1</v>
      </c>
      <c r="L43" s="4" t="s">
        <v>70</v>
      </c>
      <c r="M43" s="6">
        <f t="shared" si="0"/>
        <v>9</v>
      </c>
      <c r="N43" s="7">
        <f t="shared" si="3"/>
        <v>0.152173913043478</v>
      </c>
      <c r="O43" s="7">
        <f t="shared" si="6"/>
        <v>0.125</v>
      </c>
      <c r="P43" s="7">
        <f t="shared" si="5"/>
        <v>0.25</v>
      </c>
      <c r="Q43" s="38" t="s">
        <v>23</v>
      </c>
    </row>
    <row r="44" s="1" customFormat="1" spans="1:17">
      <c r="A44" s="20">
        <v>44529</v>
      </c>
      <c r="B44" s="1">
        <v>1616</v>
      </c>
      <c r="C44" s="21">
        <v>2836</v>
      </c>
      <c r="D44" s="2">
        <v>93</v>
      </c>
      <c r="E44" s="3">
        <v>3</v>
      </c>
      <c r="F44" s="1">
        <v>19</v>
      </c>
      <c r="G44" s="1">
        <v>63</v>
      </c>
      <c r="H44" s="1">
        <v>3</v>
      </c>
      <c r="I44" s="4">
        <v>3</v>
      </c>
      <c r="J44" s="4" t="s">
        <v>71</v>
      </c>
      <c r="K44" s="5">
        <v>1</v>
      </c>
      <c r="L44" s="4" t="s">
        <v>72</v>
      </c>
      <c r="M44" s="6">
        <f t="shared" si="0"/>
        <v>7</v>
      </c>
      <c r="N44" s="7">
        <f t="shared" si="3"/>
        <v>0.0714285714285714</v>
      </c>
      <c r="O44" s="7">
        <f t="shared" si="6"/>
        <v>0.428571428571429</v>
      </c>
      <c r="P44" s="7">
        <f t="shared" si="5"/>
        <v>0.5</v>
      </c>
      <c r="Q44" s="37" t="s">
        <v>21</v>
      </c>
    </row>
    <row r="45" s="1" customFormat="1" spans="1:17">
      <c r="A45" s="17">
        <v>44530</v>
      </c>
      <c r="B45" s="18">
        <v>2884</v>
      </c>
      <c r="C45" s="1">
        <v>1525</v>
      </c>
      <c r="D45" s="2">
        <v>96</v>
      </c>
      <c r="E45" s="3">
        <v>5</v>
      </c>
      <c r="F45" s="1">
        <v>27</v>
      </c>
      <c r="G45" s="1">
        <v>57</v>
      </c>
      <c r="H45" s="1">
        <v>10</v>
      </c>
      <c r="I45" s="4">
        <v>1</v>
      </c>
      <c r="J45" s="4" t="s">
        <v>73</v>
      </c>
      <c r="K45" s="5">
        <v>2</v>
      </c>
      <c r="L45" s="4" t="s">
        <v>74</v>
      </c>
      <c r="M45" s="6">
        <f t="shared" si="0"/>
        <v>13</v>
      </c>
      <c r="N45" s="7">
        <f t="shared" si="3"/>
        <v>0.158730158730159</v>
      </c>
      <c r="O45" s="7">
        <f t="shared" si="6"/>
        <v>0.333333333333333</v>
      </c>
      <c r="P45" s="7">
        <f t="shared" si="5"/>
        <v>0.5</v>
      </c>
      <c r="Q45" s="37" t="s">
        <v>21</v>
      </c>
    </row>
    <row r="46" s="1" customFormat="1" spans="1:17">
      <c r="A46" s="17">
        <v>44531</v>
      </c>
      <c r="B46" s="18">
        <v>3220</v>
      </c>
      <c r="C46" s="1">
        <v>1250</v>
      </c>
      <c r="D46" s="2">
        <v>119</v>
      </c>
      <c r="E46" s="3">
        <v>4</v>
      </c>
      <c r="F46" s="1">
        <v>11</v>
      </c>
      <c r="G46" s="1">
        <v>74</v>
      </c>
      <c r="H46" s="1">
        <v>7</v>
      </c>
      <c r="I46" s="4">
        <v>4</v>
      </c>
      <c r="J46" s="4" t="s">
        <v>75</v>
      </c>
      <c r="K46" s="5">
        <v>1</v>
      </c>
      <c r="L46" s="4" t="s">
        <v>76</v>
      </c>
      <c r="M46" s="6">
        <f t="shared" si="0"/>
        <v>12</v>
      </c>
      <c r="N46" s="7">
        <f t="shared" si="3"/>
        <v>0.12280701754386</v>
      </c>
      <c r="O46" s="7">
        <f t="shared" si="6"/>
        <v>0.4</v>
      </c>
      <c r="P46" s="7">
        <f t="shared" si="5"/>
        <v>0.333333333333333</v>
      </c>
      <c r="Q46" s="38" t="s">
        <v>23</v>
      </c>
    </row>
    <row r="47" s="1" customFormat="1" spans="1:17">
      <c r="A47" s="17">
        <v>44532</v>
      </c>
      <c r="B47" s="1">
        <v>1097</v>
      </c>
      <c r="C47" s="21">
        <v>3353</v>
      </c>
      <c r="D47" s="2">
        <v>76</v>
      </c>
      <c r="E47" s="3">
        <v>7</v>
      </c>
      <c r="F47" s="1">
        <v>36</v>
      </c>
      <c r="G47" s="1">
        <v>38</v>
      </c>
      <c r="H47" s="1">
        <v>10</v>
      </c>
      <c r="I47" s="4">
        <v>3</v>
      </c>
      <c r="J47" s="4" t="s">
        <v>77</v>
      </c>
      <c r="K47" s="5">
        <v>2</v>
      </c>
      <c r="L47" s="4" t="s">
        <v>78</v>
      </c>
      <c r="M47" s="6">
        <f t="shared" si="0"/>
        <v>15</v>
      </c>
      <c r="N47" s="7">
        <f t="shared" si="3"/>
        <v>0.135135135135135</v>
      </c>
      <c r="O47" s="7">
        <f t="shared" si="6"/>
        <v>0.428571428571429</v>
      </c>
      <c r="P47" s="7">
        <f t="shared" si="5"/>
        <v>0.4</v>
      </c>
      <c r="Q47" s="37" t="s">
        <v>21</v>
      </c>
    </row>
    <row r="48" s="1" customFormat="1" spans="1:17">
      <c r="A48" s="17">
        <v>44533</v>
      </c>
      <c r="B48" s="18">
        <v>2643</v>
      </c>
      <c r="C48" s="1">
        <v>1716</v>
      </c>
      <c r="D48" s="2">
        <v>78</v>
      </c>
      <c r="E48" s="3">
        <v>9</v>
      </c>
      <c r="F48" s="1">
        <v>28</v>
      </c>
      <c r="G48" s="1">
        <v>45</v>
      </c>
      <c r="H48" s="1">
        <v>8</v>
      </c>
      <c r="I48" s="4">
        <v>1</v>
      </c>
      <c r="J48" s="4" t="s">
        <v>79</v>
      </c>
      <c r="K48" s="5">
        <v>1</v>
      </c>
      <c r="L48" s="4" t="s">
        <v>80</v>
      </c>
      <c r="M48" s="6">
        <f t="shared" si="0"/>
        <v>10</v>
      </c>
      <c r="N48" s="7">
        <f t="shared" si="3"/>
        <v>0.210526315789474</v>
      </c>
      <c r="O48" s="7">
        <f t="shared" si="6"/>
        <v>0.1</v>
      </c>
      <c r="P48" s="7">
        <f t="shared" si="5"/>
        <v>0.2</v>
      </c>
      <c r="Q48" s="38" t="s">
        <v>23</v>
      </c>
    </row>
    <row r="49" s="1" customFormat="1" spans="1:17">
      <c r="A49" s="20">
        <v>44536</v>
      </c>
      <c r="B49" s="1">
        <v>958</v>
      </c>
      <c r="C49" s="21">
        <v>3528</v>
      </c>
      <c r="D49" s="2">
        <v>63</v>
      </c>
      <c r="E49" s="3">
        <v>12</v>
      </c>
      <c r="F49" s="21">
        <v>41</v>
      </c>
      <c r="G49" s="1">
        <v>33</v>
      </c>
      <c r="H49" s="1">
        <v>3</v>
      </c>
      <c r="I49" s="4">
        <v>1</v>
      </c>
      <c r="J49" s="4" t="s">
        <v>81</v>
      </c>
      <c r="K49" s="5">
        <v>2</v>
      </c>
      <c r="L49" s="4" t="s">
        <v>82</v>
      </c>
      <c r="M49" s="6">
        <f t="shared" si="0"/>
        <v>6</v>
      </c>
      <c r="N49" s="7">
        <f t="shared" si="3"/>
        <v>0.0666666666666667</v>
      </c>
      <c r="O49" s="7">
        <f t="shared" si="6"/>
        <v>0.125</v>
      </c>
      <c r="P49" s="7">
        <f t="shared" si="5"/>
        <v>1</v>
      </c>
      <c r="Q49" s="37" t="s">
        <v>21</v>
      </c>
    </row>
    <row r="50" s="1" customFormat="1" spans="1:17">
      <c r="A50" s="17">
        <v>44537</v>
      </c>
      <c r="B50" s="1">
        <v>1715</v>
      </c>
      <c r="C50" s="21">
        <v>2716</v>
      </c>
      <c r="D50" s="2">
        <v>97</v>
      </c>
      <c r="E50" s="3">
        <v>19</v>
      </c>
      <c r="F50" s="1">
        <v>15</v>
      </c>
      <c r="G50" s="1">
        <v>42</v>
      </c>
      <c r="H50" s="1">
        <v>8</v>
      </c>
      <c r="I50" s="4">
        <v>0</v>
      </c>
      <c r="J50" s="4"/>
      <c r="K50" s="5">
        <v>2</v>
      </c>
      <c r="L50" s="4" t="s">
        <v>83</v>
      </c>
      <c r="M50" s="6">
        <f t="shared" si="0"/>
        <v>10</v>
      </c>
      <c r="N50" s="7">
        <f t="shared" si="3"/>
        <v>0.242424242424242</v>
      </c>
      <c r="O50" s="7">
        <f t="shared" si="6"/>
        <v>0</v>
      </c>
      <c r="P50" s="7">
        <f t="shared" si="5"/>
        <v>0.666666666666667</v>
      </c>
      <c r="Q50" s="38" t="s">
        <v>23</v>
      </c>
    </row>
    <row r="51" s="1" customFormat="1" spans="1:17">
      <c r="A51" s="17">
        <v>44538</v>
      </c>
      <c r="B51" s="18">
        <v>3240</v>
      </c>
      <c r="C51" s="1">
        <v>1121</v>
      </c>
      <c r="D51" s="2">
        <v>89</v>
      </c>
      <c r="E51" s="3">
        <v>22</v>
      </c>
      <c r="F51" s="1">
        <v>25</v>
      </c>
      <c r="G51" s="1">
        <v>71</v>
      </c>
      <c r="H51" s="1">
        <v>5</v>
      </c>
      <c r="I51" s="4">
        <v>5</v>
      </c>
      <c r="J51" s="4" t="s">
        <v>84</v>
      </c>
      <c r="K51" s="5">
        <v>1</v>
      </c>
      <c r="L51" s="4" t="s">
        <v>85</v>
      </c>
      <c r="M51" s="6">
        <f t="shared" si="0"/>
        <v>11</v>
      </c>
      <c r="N51" s="7">
        <f t="shared" si="3"/>
        <v>0.119047619047619</v>
      </c>
      <c r="O51" s="7">
        <f t="shared" si="6"/>
        <v>0.625</v>
      </c>
      <c r="P51" s="7">
        <f t="shared" si="5"/>
        <v>0.5</v>
      </c>
      <c r="Q51" s="37" t="s">
        <v>21</v>
      </c>
    </row>
    <row r="52" s="1" customFormat="1" spans="1:17">
      <c r="A52" s="17">
        <v>44539</v>
      </c>
      <c r="B52" s="18">
        <v>2661</v>
      </c>
      <c r="C52" s="1">
        <v>1758</v>
      </c>
      <c r="D52" s="2">
        <v>77</v>
      </c>
      <c r="E52" s="3">
        <v>18</v>
      </c>
      <c r="F52" s="1">
        <v>31</v>
      </c>
      <c r="G52" s="1">
        <v>52</v>
      </c>
      <c r="H52" s="1">
        <v>10</v>
      </c>
      <c r="I52" s="4">
        <v>1</v>
      </c>
      <c r="J52" s="4" t="s">
        <v>86</v>
      </c>
      <c r="K52" s="5">
        <v>5</v>
      </c>
      <c r="L52" s="4" t="s">
        <v>87</v>
      </c>
      <c r="M52" s="6">
        <f t="shared" si="0"/>
        <v>16</v>
      </c>
      <c r="N52" s="7">
        <f t="shared" si="3"/>
        <v>0.140845070422535</v>
      </c>
      <c r="O52" s="7">
        <f t="shared" si="6"/>
        <v>0.2</v>
      </c>
      <c r="P52" s="7">
        <f t="shared" si="5"/>
        <v>0.833333333333333</v>
      </c>
      <c r="Q52" s="37" t="s">
        <v>21</v>
      </c>
    </row>
    <row r="53" s="1" customFormat="1" spans="1:17">
      <c r="A53" s="17">
        <v>44540</v>
      </c>
      <c r="B53" s="1">
        <v>2236</v>
      </c>
      <c r="C53" s="1">
        <v>2175</v>
      </c>
      <c r="D53" s="2">
        <v>87</v>
      </c>
      <c r="E53" s="3">
        <v>4</v>
      </c>
      <c r="F53" s="1">
        <v>24</v>
      </c>
      <c r="G53" s="1">
        <v>53</v>
      </c>
      <c r="H53" s="1">
        <v>7</v>
      </c>
      <c r="I53" s="4">
        <v>3</v>
      </c>
      <c r="J53" s="4" t="s">
        <v>88</v>
      </c>
      <c r="K53" s="5">
        <v>5</v>
      </c>
      <c r="L53" s="4" t="s">
        <v>89</v>
      </c>
      <c r="M53" s="6">
        <f t="shared" si="0"/>
        <v>15</v>
      </c>
      <c r="N53" s="7">
        <f t="shared" si="3"/>
        <v>0.134615384615385</v>
      </c>
      <c r="O53" s="7">
        <f t="shared" si="6"/>
        <v>0.3</v>
      </c>
      <c r="P53" s="7">
        <f t="shared" si="5"/>
        <v>0.833333333333333</v>
      </c>
      <c r="Q53" s="37" t="s">
        <v>21</v>
      </c>
    </row>
    <row r="54" s="1" customFormat="1" spans="1:17">
      <c r="A54" s="20">
        <v>44543</v>
      </c>
      <c r="B54" s="1">
        <v>2268</v>
      </c>
      <c r="C54" s="1">
        <v>2139</v>
      </c>
      <c r="D54" s="2">
        <v>87</v>
      </c>
      <c r="E54" s="3">
        <v>17</v>
      </c>
      <c r="F54" s="1">
        <v>28</v>
      </c>
      <c r="G54" s="1">
        <v>60</v>
      </c>
      <c r="H54" s="1">
        <v>9</v>
      </c>
      <c r="I54" s="4">
        <v>5</v>
      </c>
      <c r="J54" s="4" t="s">
        <v>90</v>
      </c>
      <c r="K54" s="5">
        <v>5</v>
      </c>
      <c r="L54" s="4" t="s">
        <v>91</v>
      </c>
      <c r="M54" s="6">
        <f t="shared" si="0"/>
        <v>19</v>
      </c>
      <c r="N54" s="7">
        <f t="shared" si="3"/>
        <v>0.169811320754717</v>
      </c>
      <c r="O54" s="7">
        <f t="shared" si="6"/>
        <v>0.714285714285714</v>
      </c>
      <c r="P54" s="7">
        <f t="shared" si="5"/>
        <v>0.625</v>
      </c>
      <c r="Q54" s="37" t="s">
        <v>21</v>
      </c>
    </row>
    <row r="55" s="1" customFormat="1" ht="27" spans="1:17">
      <c r="A55" s="17">
        <v>44544</v>
      </c>
      <c r="B55" s="18">
        <v>2487</v>
      </c>
      <c r="C55" s="1">
        <v>1946</v>
      </c>
      <c r="D55" s="2">
        <v>108</v>
      </c>
      <c r="E55" s="3">
        <v>8</v>
      </c>
      <c r="F55" s="1">
        <v>20</v>
      </c>
      <c r="G55" s="1">
        <v>63</v>
      </c>
      <c r="H55" s="1">
        <v>15</v>
      </c>
      <c r="I55" s="4">
        <v>6</v>
      </c>
      <c r="J55" s="4" t="s">
        <v>92</v>
      </c>
      <c r="K55" s="5">
        <v>8</v>
      </c>
      <c r="L55" s="4" t="s">
        <v>93</v>
      </c>
      <c r="M55" s="6">
        <f t="shared" si="0"/>
        <v>29</v>
      </c>
      <c r="N55" s="7">
        <f t="shared" si="3"/>
        <v>0.25</v>
      </c>
      <c r="O55" s="7">
        <f t="shared" si="6"/>
        <v>0.666666666666667</v>
      </c>
      <c r="P55" s="7">
        <f t="shared" si="5"/>
        <v>0.8</v>
      </c>
      <c r="Q55" s="37" t="s">
        <v>21</v>
      </c>
    </row>
    <row r="56" s="1" customFormat="1" ht="27" spans="1:17">
      <c r="A56" s="17">
        <v>44545</v>
      </c>
      <c r="B56" s="1">
        <v>2095</v>
      </c>
      <c r="C56" s="1">
        <v>2302</v>
      </c>
      <c r="D56" s="2">
        <v>94</v>
      </c>
      <c r="E56" s="3">
        <v>8</v>
      </c>
      <c r="F56" s="1">
        <v>33</v>
      </c>
      <c r="G56" s="1">
        <v>57</v>
      </c>
      <c r="H56" s="1">
        <v>8</v>
      </c>
      <c r="I56" s="4">
        <v>9</v>
      </c>
      <c r="J56" s="4" t="s">
        <v>94</v>
      </c>
      <c r="K56" s="5">
        <v>5</v>
      </c>
      <c r="L56" s="4" t="s">
        <v>95</v>
      </c>
      <c r="M56" s="6">
        <f t="shared" si="0"/>
        <v>22</v>
      </c>
      <c r="N56" s="7">
        <f t="shared" si="3"/>
        <v>0.126984126984127</v>
      </c>
      <c r="O56" s="7">
        <f t="shared" si="6"/>
        <v>0.6</v>
      </c>
      <c r="P56" s="7">
        <f t="shared" si="5"/>
        <v>0.357142857142857</v>
      </c>
      <c r="Q56" s="38" t="s">
        <v>23</v>
      </c>
    </row>
    <row r="57" s="1" customFormat="1" ht="27" spans="1:17">
      <c r="A57" s="17">
        <v>44546</v>
      </c>
      <c r="B57" s="18">
        <v>2977</v>
      </c>
      <c r="C57" s="1">
        <v>1443</v>
      </c>
      <c r="D57" s="2">
        <v>96</v>
      </c>
      <c r="E57" s="3">
        <v>5</v>
      </c>
      <c r="F57" s="1">
        <v>23</v>
      </c>
      <c r="G57" s="1">
        <v>59</v>
      </c>
      <c r="H57" s="1">
        <v>14</v>
      </c>
      <c r="I57" s="4">
        <v>4</v>
      </c>
      <c r="J57" s="4" t="s">
        <v>96</v>
      </c>
      <c r="K57" s="5">
        <v>11</v>
      </c>
      <c r="L57" s="4" t="s">
        <v>97</v>
      </c>
      <c r="M57" s="6">
        <f t="shared" si="0"/>
        <v>29</v>
      </c>
      <c r="N57" s="7">
        <f t="shared" si="3"/>
        <v>0.245614035087719</v>
      </c>
      <c r="O57" s="7">
        <f t="shared" si="6"/>
        <v>0.5</v>
      </c>
      <c r="P57" s="7">
        <f t="shared" si="5"/>
        <v>0.785714285714286</v>
      </c>
      <c r="Q57" s="37" t="s">
        <v>21</v>
      </c>
    </row>
    <row r="58" s="1" customFormat="1" ht="40.5" spans="1:17">
      <c r="A58" s="17">
        <v>44547</v>
      </c>
      <c r="B58" s="1">
        <v>1351</v>
      </c>
      <c r="C58" s="21">
        <v>3084</v>
      </c>
      <c r="D58" s="2">
        <v>95</v>
      </c>
      <c r="E58" s="3">
        <v>8</v>
      </c>
      <c r="F58" s="1">
        <v>20</v>
      </c>
      <c r="G58" s="1">
        <v>55</v>
      </c>
      <c r="H58" s="1">
        <v>12</v>
      </c>
      <c r="I58" s="4">
        <v>5</v>
      </c>
      <c r="J58" s="4" t="s">
        <v>98</v>
      </c>
      <c r="K58" s="5">
        <v>13</v>
      </c>
      <c r="L58" s="4" t="s">
        <v>99</v>
      </c>
      <c r="M58" s="6">
        <f t="shared" si="0"/>
        <v>30</v>
      </c>
      <c r="N58" s="7">
        <f t="shared" si="3"/>
        <v>0.203389830508475</v>
      </c>
      <c r="O58" s="7">
        <f t="shared" si="6"/>
        <v>0.357142857142857</v>
      </c>
      <c r="P58" s="7">
        <f t="shared" si="5"/>
        <v>0.866666666666667</v>
      </c>
      <c r="Q58" s="37" t="s">
        <v>21</v>
      </c>
    </row>
    <row r="59" s="1" customFormat="1" ht="40.5" spans="1:17">
      <c r="A59" s="20">
        <v>44550</v>
      </c>
      <c r="B59" s="1">
        <v>1413</v>
      </c>
      <c r="C59" s="21">
        <v>3069</v>
      </c>
      <c r="D59" s="2">
        <v>110</v>
      </c>
      <c r="E59" s="3">
        <v>26</v>
      </c>
      <c r="F59" s="1">
        <v>24</v>
      </c>
      <c r="G59" s="1">
        <v>58</v>
      </c>
      <c r="H59" s="1">
        <v>19</v>
      </c>
      <c r="I59" s="4">
        <v>5</v>
      </c>
      <c r="J59" s="4" t="s">
        <v>100</v>
      </c>
      <c r="K59" s="5">
        <v>16</v>
      </c>
      <c r="L59" s="4" t="s">
        <v>101</v>
      </c>
      <c r="M59" s="6">
        <f t="shared" si="0"/>
        <v>40</v>
      </c>
      <c r="N59" s="7">
        <f t="shared" si="3"/>
        <v>0.345454545454545</v>
      </c>
      <c r="O59" s="7">
        <f t="shared" si="6"/>
        <v>0.416666666666667</v>
      </c>
      <c r="P59" s="7">
        <f t="shared" si="5"/>
        <v>0.888888888888889</v>
      </c>
      <c r="Q59" s="37" t="s">
        <v>21</v>
      </c>
    </row>
    <row r="60" s="1" customFormat="1" ht="40.5" spans="1:17">
      <c r="A60" s="17">
        <v>44551</v>
      </c>
      <c r="B60" s="18">
        <v>3624</v>
      </c>
      <c r="C60" s="1">
        <v>896</v>
      </c>
      <c r="D60" s="2">
        <v>158</v>
      </c>
      <c r="E60" s="3">
        <v>11</v>
      </c>
      <c r="F60" s="1">
        <v>15</v>
      </c>
      <c r="G60" s="1">
        <v>87</v>
      </c>
      <c r="H60" s="1">
        <v>21</v>
      </c>
      <c r="I60" s="4">
        <v>13</v>
      </c>
      <c r="J60" s="4" t="s">
        <v>102</v>
      </c>
      <c r="K60" s="5">
        <v>14</v>
      </c>
      <c r="L60" s="4" t="s">
        <v>103</v>
      </c>
      <c r="M60" s="6">
        <f t="shared" si="0"/>
        <v>48</v>
      </c>
      <c r="N60" s="7">
        <f t="shared" si="3"/>
        <v>0.362068965517241</v>
      </c>
      <c r="O60" s="7">
        <f t="shared" si="6"/>
        <v>0.684210526315789</v>
      </c>
      <c r="P60" s="7">
        <f t="shared" si="5"/>
        <v>0.666666666666667</v>
      </c>
      <c r="Q60" s="38" t="s">
        <v>23</v>
      </c>
    </row>
    <row r="61" s="1" customFormat="1" ht="27" spans="1:17">
      <c r="A61" s="17">
        <v>44552</v>
      </c>
      <c r="B61" s="1">
        <v>2185</v>
      </c>
      <c r="C61" s="1">
        <v>2269</v>
      </c>
      <c r="D61" s="2">
        <v>60</v>
      </c>
      <c r="E61" s="3">
        <v>5</v>
      </c>
      <c r="F61" s="21">
        <v>48</v>
      </c>
      <c r="G61" s="1">
        <v>53</v>
      </c>
      <c r="H61" s="1">
        <v>11</v>
      </c>
      <c r="I61" s="4">
        <v>5</v>
      </c>
      <c r="J61" s="4" t="s">
        <v>104</v>
      </c>
      <c r="K61" s="5">
        <v>9</v>
      </c>
      <c r="L61" s="4" t="s">
        <v>105</v>
      </c>
      <c r="M61" s="6">
        <f t="shared" si="0"/>
        <v>25</v>
      </c>
      <c r="N61" s="7">
        <f t="shared" si="3"/>
        <v>0.126436781609195</v>
      </c>
      <c r="O61" s="7">
        <f t="shared" si="6"/>
        <v>0.238095238095238</v>
      </c>
      <c r="P61" s="7">
        <f t="shared" si="5"/>
        <v>0.333333333333333</v>
      </c>
      <c r="Q61" s="38" t="s">
        <v>23</v>
      </c>
    </row>
    <row r="62" s="1" customFormat="1" spans="1:17">
      <c r="A62" s="17">
        <v>44553</v>
      </c>
      <c r="B62" s="1">
        <v>1506</v>
      </c>
      <c r="C62" s="21">
        <v>2994</v>
      </c>
      <c r="D62" s="2">
        <v>75</v>
      </c>
      <c r="E62" s="3">
        <v>34</v>
      </c>
      <c r="F62" s="1">
        <v>23</v>
      </c>
      <c r="G62" s="1">
        <v>55</v>
      </c>
      <c r="H62" s="1">
        <v>9</v>
      </c>
      <c r="I62" s="4">
        <v>3</v>
      </c>
      <c r="J62" s="4" t="s">
        <v>106</v>
      </c>
      <c r="K62" s="5">
        <v>3</v>
      </c>
      <c r="L62" s="4" t="s">
        <v>107</v>
      </c>
      <c r="M62" s="6">
        <f t="shared" si="0"/>
        <v>15</v>
      </c>
      <c r="N62" s="7">
        <f t="shared" si="3"/>
        <v>0.169811320754717</v>
      </c>
      <c r="O62" s="7">
        <f t="shared" si="6"/>
        <v>0.272727272727273</v>
      </c>
      <c r="P62" s="7">
        <f t="shared" si="5"/>
        <v>0.214285714285714</v>
      </c>
      <c r="Q62" s="38" t="s">
        <v>23</v>
      </c>
    </row>
    <row r="63" s="1" customFormat="1" spans="1:17">
      <c r="A63" s="17">
        <v>44554</v>
      </c>
      <c r="B63" s="1">
        <v>1030</v>
      </c>
      <c r="C63" s="21">
        <v>3490</v>
      </c>
      <c r="D63" s="2">
        <v>57</v>
      </c>
      <c r="E63" s="3">
        <v>40</v>
      </c>
      <c r="F63" s="1">
        <v>29</v>
      </c>
      <c r="G63" s="1">
        <v>44</v>
      </c>
      <c r="H63" s="1">
        <v>3</v>
      </c>
      <c r="I63" s="4">
        <v>2</v>
      </c>
      <c r="J63" s="4" t="s">
        <v>108</v>
      </c>
      <c r="K63" s="5">
        <v>2</v>
      </c>
      <c r="L63" s="4" t="s">
        <v>109</v>
      </c>
      <c r="M63" s="6">
        <f t="shared" si="0"/>
        <v>7</v>
      </c>
      <c r="N63" s="7">
        <f t="shared" si="3"/>
        <v>0.0545454545454545</v>
      </c>
      <c r="O63" s="7">
        <f t="shared" si="6"/>
        <v>0.222222222222222</v>
      </c>
      <c r="P63" s="7">
        <f t="shared" si="5"/>
        <v>0.333333333333333</v>
      </c>
      <c r="Q63" s="37" t="s">
        <v>21</v>
      </c>
    </row>
    <row r="64" s="1" customFormat="1" spans="1:17">
      <c r="A64" s="20">
        <v>44557</v>
      </c>
      <c r="B64" s="18">
        <v>2725</v>
      </c>
      <c r="C64" s="1">
        <v>1726</v>
      </c>
      <c r="D64" s="2">
        <v>73</v>
      </c>
      <c r="E64" s="3">
        <v>30</v>
      </c>
      <c r="F64" s="1">
        <v>28</v>
      </c>
      <c r="G64" s="1">
        <v>51</v>
      </c>
      <c r="H64" s="1">
        <v>8</v>
      </c>
      <c r="I64" s="4">
        <v>2</v>
      </c>
      <c r="J64" s="4" t="s">
        <v>110</v>
      </c>
      <c r="K64" s="5">
        <v>1</v>
      </c>
      <c r="L64" s="4" t="s">
        <v>111</v>
      </c>
      <c r="M64" s="6">
        <f t="shared" si="0"/>
        <v>11</v>
      </c>
      <c r="N64" s="7">
        <f t="shared" si="3"/>
        <v>0.181818181818182</v>
      </c>
      <c r="O64" s="7">
        <f t="shared" si="6"/>
        <v>0.666666666666667</v>
      </c>
      <c r="P64" s="7">
        <f t="shared" si="5"/>
        <v>0.25</v>
      </c>
      <c r="Q64" s="38" t="s">
        <v>23</v>
      </c>
    </row>
    <row r="65" s="1" customFormat="1" spans="1:17">
      <c r="A65" s="17">
        <v>44558</v>
      </c>
      <c r="B65" s="18">
        <v>2752</v>
      </c>
      <c r="C65" s="1">
        <v>1716</v>
      </c>
      <c r="D65" s="2">
        <v>68</v>
      </c>
      <c r="E65" s="3">
        <v>18</v>
      </c>
      <c r="F65" s="1">
        <v>23</v>
      </c>
      <c r="G65" s="1">
        <v>51</v>
      </c>
      <c r="H65" s="1">
        <v>6</v>
      </c>
      <c r="I65" s="4">
        <v>2</v>
      </c>
      <c r="J65" s="4" t="s">
        <v>112</v>
      </c>
      <c r="K65" s="5">
        <v>1</v>
      </c>
      <c r="L65" s="4" t="s">
        <v>113</v>
      </c>
      <c r="M65" s="6">
        <f t="shared" si="0"/>
        <v>9</v>
      </c>
      <c r="N65" s="7">
        <f t="shared" si="3"/>
        <v>0.117647058823529</v>
      </c>
      <c r="O65" s="7">
        <f t="shared" si="6"/>
        <v>0.25</v>
      </c>
      <c r="P65" s="7">
        <f t="shared" si="5"/>
        <v>0.333333333333333</v>
      </c>
      <c r="Q65" s="37" t="s">
        <v>21</v>
      </c>
    </row>
    <row r="66" s="1" customFormat="1" spans="1:17">
      <c r="A66" s="17">
        <v>44559</v>
      </c>
      <c r="B66" s="1">
        <v>1893</v>
      </c>
      <c r="C66" s="21">
        <v>2517</v>
      </c>
      <c r="D66" s="2">
        <v>71</v>
      </c>
      <c r="E66" s="3">
        <v>15</v>
      </c>
      <c r="F66" s="1">
        <v>25</v>
      </c>
      <c r="G66" s="1">
        <v>46</v>
      </c>
      <c r="H66" s="1">
        <v>10</v>
      </c>
      <c r="I66" s="4">
        <v>4</v>
      </c>
      <c r="J66" s="4" t="s">
        <v>114</v>
      </c>
      <c r="K66" s="5">
        <v>3</v>
      </c>
      <c r="L66" s="4" t="s">
        <v>115</v>
      </c>
      <c r="M66" s="6">
        <f t="shared" si="0"/>
        <v>17</v>
      </c>
      <c r="N66" s="7">
        <f t="shared" si="3"/>
        <v>0.196078431372549</v>
      </c>
      <c r="O66" s="7">
        <f t="shared" si="6"/>
        <v>0.666666666666667</v>
      </c>
      <c r="P66" s="7">
        <f t="shared" si="5"/>
        <v>1</v>
      </c>
      <c r="Q66" s="37" t="s">
        <v>21</v>
      </c>
    </row>
    <row r="67" s="1" customFormat="1" spans="1:17">
      <c r="A67" s="17">
        <v>44560</v>
      </c>
      <c r="B67" s="18">
        <v>2925</v>
      </c>
      <c r="C67" s="1">
        <v>1471</v>
      </c>
      <c r="D67" s="2">
        <v>101</v>
      </c>
      <c r="E67" s="3">
        <v>4</v>
      </c>
      <c r="F67" s="1">
        <v>20</v>
      </c>
      <c r="G67" s="1">
        <v>62</v>
      </c>
      <c r="H67" s="1">
        <v>12</v>
      </c>
      <c r="I67" s="4">
        <v>8</v>
      </c>
      <c r="J67" s="4" t="s">
        <v>116</v>
      </c>
      <c r="K67" s="5">
        <v>5</v>
      </c>
      <c r="L67" s="4" t="s">
        <v>117</v>
      </c>
      <c r="M67" s="6">
        <f t="shared" si="0"/>
        <v>25</v>
      </c>
      <c r="N67" s="7">
        <f t="shared" si="3"/>
        <v>0.260869565217391</v>
      </c>
      <c r="O67" s="7">
        <f t="shared" si="6"/>
        <v>0.8</v>
      </c>
      <c r="P67" s="7">
        <f t="shared" si="5"/>
        <v>0.714285714285714</v>
      </c>
      <c r="Q67" s="38" t="s">
        <v>23</v>
      </c>
    </row>
    <row r="68" s="1" customFormat="1" spans="1:17">
      <c r="A68" s="17">
        <v>44561</v>
      </c>
      <c r="B68" s="18">
        <v>2729</v>
      </c>
      <c r="C68" s="1">
        <v>1691</v>
      </c>
      <c r="D68" s="2">
        <v>72</v>
      </c>
      <c r="E68" s="3">
        <v>12</v>
      </c>
      <c r="F68" s="1">
        <v>33</v>
      </c>
      <c r="G68" s="1">
        <v>37</v>
      </c>
      <c r="H68" s="1">
        <v>11</v>
      </c>
      <c r="I68" s="4">
        <v>5</v>
      </c>
      <c r="J68" s="4" t="s">
        <v>118</v>
      </c>
      <c r="K68" s="5">
        <v>5</v>
      </c>
      <c r="L68" s="4" t="s">
        <v>119</v>
      </c>
      <c r="M68" s="6">
        <f t="shared" si="0"/>
        <v>21</v>
      </c>
      <c r="N68" s="7">
        <f t="shared" si="3"/>
        <v>0.17741935483871</v>
      </c>
      <c r="O68" s="7">
        <f t="shared" si="6"/>
        <v>0.416666666666667</v>
      </c>
      <c r="P68" s="7">
        <f t="shared" si="5"/>
        <v>0.384615384615385</v>
      </c>
      <c r="Q68" s="38" t="s">
        <v>23</v>
      </c>
    </row>
    <row r="69" s="1" customFormat="1" spans="1:17">
      <c r="A69" s="39">
        <v>44565</v>
      </c>
      <c r="B69" s="40">
        <v>3299</v>
      </c>
      <c r="C69" s="41">
        <v>1243</v>
      </c>
      <c r="D69" s="2">
        <v>120</v>
      </c>
      <c r="E69" s="42">
        <v>24</v>
      </c>
      <c r="F69" s="41">
        <v>28</v>
      </c>
      <c r="G69" s="41">
        <v>68</v>
      </c>
      <c r="H69" s="41">
        <v>15</v>
      </c>
      <c r="I69" s="41">
        <v>5</v>
      </c>
      <c r="J69" s="4" t="s">
        <v>120</v>
      </c>
      <c r="K69" s="44">
        <v>5</v>
      </c>
      <c r="L69" s="4" t="s">
        <v>121</v>
      </c>
      <c r="M69" s="6">
        <f t="shared" si="0"/>
        <v>25</v>
      </c>
      <c r="N69" s="7">
        <f t="shared" si="3"/>
        <v>0.405405405405405</v>
      </c>
      <c r="O69" s="7">
        <f t="shared" si="6"/>
        <v>0.454545454545455</v>
      </c>
      <c r="P69" s="7">
        <f t="shared" si="5"/>
        <v>0.5</v>
      </c>
      <c r="Q69" s="37" t="s">
        <v>21</v>
      </c>
    </row>
    <row r="70" s="1" customFormat="1" spans="1:17">
      <c r="A70" s="17">
        <v>44566</v>
      </c>
      <c r="B70" s="1">
        <v>1110</v>
      </c>
      <c r="C70" s="21">
        <v>3400</v>
      </c>
      <c r="D70" s="2">
        <v>70</v>
      </c>
      <c r="E70" s="3">
        <v>37</v>
      </c>
      <c r="F70" s="1">
        <v>38</v>
      </c>
      <c r="G70" s="1">
        <v>27</v>
      </c>
      <c r="H70" s="1">
        <v>15</v>
      </c>
      <c r="I70" s="4">
        <v>2</v>
      </c>
      <c r="J70" s="4" t="s">
        <v>122</v>
      </c>
      <c r="K70" s="5">
        <v>4</v>
      </c>
      <c r="L70" s="4" t="s">
        <v>123</v>
      </c>
      <c r="M70" s="6">
        <f t="shared" si="0"/>
        <v>21</v>
      </c>
      <c r="N70" s="7">
        <f t="shared" si="3"/>
        <v>0.220588235294118</v>
      </c>
      <c r="O70" s="7">
        <f t="shared" si="6"/>
        <v>0.133333333333333</v>
      </c>
      <c r="P70" s="7">
        <f t="shared" si="5"/>
        <v>0.4</v>
      </c>
      <c r="Q70" s="38" t="s">
        <v>23</v>
      </c>
    </row>
    <row r="71" s="1" customFormat="1" spans="1:17">
      <c r="A71" s="17">
        <v>44567</v>
      </c>
      <c r="B71" s="18">
        <v>2966</v>
      </c>
      <c r="C71" s="1">
        <v>1480</v>
      </c>
      <c r="D71" s="2">
        <v>97</v>
      </c>
      <c r="E71" s="3">
        <v>9</v>
      </c>
      <c r="F71" s="1">
        <v>25</v>
      </c>
      <c r="G71" s="1">
        <v>69</v>
      </c>
      <c r="H71" s="1">
        <v>7</v>
      </c>
      <c r="I71" s="4">
        <v>4</v>
      </c>
      <c r="J71" s="4" t="s">
        <v>124</v>
      </c>
      <c r="K71" s="5">
        <v>3</v>
      </c>
      <c r="L71" s="4" t="s">
        <v>125</v>
      </c>
      <c r="M71" s="6">
        <f t="shared" si="0"/>
        <v>14</v>
      </c>
      <c r="N71" s="7">
        <f t="shared" si="3"/>
        <v>0.259259259259259</v>
      </c>
      <c r="O71" s="7">
        <f t="shared" si="6"/>
        <v>0.266666666666667</v>
      </c>
      <c r="P71" s="7">
        <f t="shared" si="5"/>
        <v>0.5</v>
      </c>
      <c r="Q71" s="37" t="s">
        <v>21</v>
      </c>
    </row>
    <row r="72" s="1" customFormat="1" spans="1:17">
      <c r="A72" s="17">
        <v>44568</v>
      </c>
      <c r="B72" s="1">
        <v>981</v>
      </c>
      <c r="C72" s="21">
        <v>3547</v>
      </c>
      <c r="D72" s="2">
        <v>52</v>
      </c>
      <c r="E72" s="3">
        <v>26</v>
      </c>
      <c r="F72" s="21">
        <v>45</v>
      </c>
      <c r="G72" s="1">
        <v>28</v>
      </c>
      <c r="H72" s="1">
        <v>8</v>
      </c>
      <c r="I72" s="4">
        <v>2</v>
      </c>
      <c r="J72" s="4" t="s">
        <v>126</v>
      </c>
      <c r="K72" s="5">
        <v>5</v>
      </c>
      <c r="L72" s="4" t="s">
        <v>127</v>
      </c>
      <c r="M72" s="6">
        <f t="shared" ref="M72:M135" si="7">H72+I72+K72</f>
        <v>15</v>
      </c>
      <c r="N72" s="7">
        <f t="shared" si="3"/>
        <v>0.115942028985507</v>
      </c>
      <c r="O72" s="7">
        <f t="shared" si="6"/>
        <v>0.285714285714286</v>
      </c>
      <c r="P72" s="7">
        <f t="shared" si="5"/>
        <v>0.714285714285714</v>
      </c>
      <c r="Q72" s="37" t="s">
        <v>21</v>
      </c>
    </row>
    <row r="73" s="1" customFormat="1" spans="1:17">
      <c r="A73" s="39">
        <v>44571</v>
      </c>
      <c r="B73" s="40">
        <v>3063</v>
      </c>
      <c r="C73" s="41">
        <v>1394</v>
      </c>
      <c r="D73" s="2">
        <v>90</v>
      </c>
      <c r="E73" s="42">
        <v>15</v>
      </c>
      <c r="F73" s="41">
        <v>13</v>
      </c>
      <c r="G73" s="41">
        <v>54</v>
      </c>
      <c r="H73" s="41">
        <v>9</v>
      </c>
      <c r="I73" s="41">
        <v>5</v>
      </c>
      <c r="J73" s="4" t="s">
        <v>128</v>
      </c>
      <c r="K73" s="44">
        <v>2</v>
      </c>
      <c r="L73" s="1" t="s">
        <v>129</v>
      </c>
      <c r="M73" s="6">
        <f t="shared" si="7"/>
        <v>16</v>
      </c>
      <c r="N73" s="7">
        <f t="shared" ref="N73:N136" si="8">H73/G72</f>
        <v>0.321428571428571</v>
      </c>
      <c r="O73" s="7">
        <f t="shared" si="6"/>
        <v>0.625</v>
      </c>
      <c r="P73" s="7">
        <f t="shared" si="5"/>
        <v>0.285714285714286</v>
      </c>
      <c r="Q73" s="46" t="s">
        <v>23</v>
      </c>
    </row>
    <row r="74" s="1" customFormat="1" spans="1:17">
      <c r="A74" s="17">
        <v>44572</v>
      </c>
      <c r="B74" s="1">
        <v>1688</v>
      </c>
      <c r="C74" s="21">
        <v>2752</v>
      </c>
      <c r="D74" s="2">
        <v>70</v>
      </c>
      <c r="E74" s="3">
        <v>12</v>
      </c>
      <c r="F74" s="1">
        <v>27</v>
      </c>
      <c r="G74" s="1">
        <v>45</v>
      </c>
      <c r="H74" s="1">
        <v>4</v>
      </c>
      <c r="I74" s="4">
        <v>3</v>
      </c>
      <c r="J74" s="4" t="s">
        <v>130</v>
      </c>
      <c r="K74" s="5">
        <v>4</v>
      </c>
      <c r="L74" s="4" t="s">
        <v>131</v>
      </c>
      <c r="M74" s="6">
        <f t="shared" si="7"/>
        <v>11</v>
      </c>
      <c r="N74" s="7">
        <f t="shared" si="8"/>
        <v>0.0740740740740741</v>
      </c>
      <c r="O74" s="7">
        <f t="shared" si="6"/>
        <v>0.333333333333333</v>
      </c>
      <c r="P74" s="7">
        <f t="shared" si="5"/>
        <v>0.571428571428571</v>
      </c>
      <c r="Q74" s="37" t="s">
        <v>21</v>
      </c>
    </row>
    <row r="75" s="1" customFormat="1" ht="27" spans="1:17">
      <c r="A75" s="17">
        <v>44573</v>
      </c>
      <c r="B75" s="18">
        <v>3355</v>
      </c>
      <c r="C75" s="1">
        <v>1107</v>
      </c>
      <c r="D75" s="2">
        <v>103</v>
      </c>
      <c r="E75" s="3">
        <v>4</v>
      </c>
      <c r="F75" s="1">
        <v>20</v>
      </c>
      <c r="G75" s="1">
        <v>73</v>
      </c>
      <c r="H75" s="1">
        <v>12</v>
      </c>
      <c r="I75" s="4">
        <v>1</v>
      </c>
      <c r="J75" s="4" t="s">
        <v>132</v>
      </c>
      <c r="K75" s="5">
        <v>6</v>
      </c>
      <c r="L75" s="4" t="s">
        <v>133</v>
      </c>
      <c r="M75" s="6">
        <f t="shared" si="7"/>
        <v>19</v>
      </c>
      <c r="N75" s="7">
        <f t="shared" si="8"/>
        <v>0.266666666666667</v>
      </c>
      <c r="O75" s="7">
        <f t="shared" si="6"/>
        <v>0.25</v>
      </c>
      <c r="P75" s="7">
        <f t="shared" si="5"/>
        <v>0.857142857142857</v>
      </c>
      <c r="Q75" s="37" t="s">
        <v>21</v>
      </c>
    </row>
    <row r="76" s="1" customFormat="1" spans="1:17">
      <c r="A76" s="17">
        <v>44574</v>
      </c>
      <c r="B76" s="1">
        <v>1241</v>
      </c>
      <c r="C76" s="21">
        <v>3219</v>
      </c>
      <c r="D76" s="2">
        <v>63</v>
      </c>
      <c r="E76" s="3">
        <v>16</v>
      </c>
      <c r="F76" s="1">
        <v>36</v>
      </c>
      <c r="G76" s="1">
        <v>30</v>
      </c>
      <c r="H76" s="1">
        <v>20</v>
      </c>
      <c r="I76" s="4">
        <v>3</v>
      </c>
      <c r="J76" s="4" t="s">
        <v>134</v>
      </c>
      <c r="K76" s="5">
        <v>3</v>
      </c>
      <c r="L76" s="4" t="s">
        <v>135</v>
      </c>
      <c r="M76" s="6">
        <f t="shared" si="7"/>
        <v>26</v>
      </c>
      <c r="N76" s="7">
        <f t="shared" si="8"/>
        <v>0.273972602739726</v>
      </c>
      <c r="O76" s="7">
        <f t="shared" si="6"/>
        <v>0.25</v>
      </c>
      <c r="P76" s="7">
        <f t="shared" si="5"/>
        <v>0.428571428571429</v>
      </c>
      <c r="Q76" s="38" t="s">
        <v>23</v>
      </c>
    </row>
    <row r="77" s="1" customFormat="1" spans="1:17">
      <c r="A77" s="17">
        <v>44575</v>
      </c>
      <c r="B77" s="1">
        <v>1528</v>
      </c>
      <c r="C77" s="21">
        <v>3030</v>
      </c>
      <c r="D77" s="2">
        <v>82</v>
      </c>
      <c r="E77" s="3">
        <v>20</v>
      </c>
      <c r="F77" s="1">
        <v>28</v>
      </c>
      <c r="G77" s="1">
        <v>57</v>
      </c>
      <c r="H77" s="1">
        <v>7</v>
      </c>
      <c r="I77" s="4">
        <v>7</v>
      </c>
      <c r="J77" s="4" t="s">
        <v>136</v>
      </c>
      <c r="K77" s="5">
        <v>3</v>
      </c>
      <c r="L77" s="4" t="s">
        <v>137</v>
      </c>
      <c r="M77" s="6">
        <f t="shared" si="7"/>
        <v>17</v>
      </c>
      <c r="N77" s="7">
        <f t="shared" si="8"/>
        <v>0.233333333333333</v>
      </c>
      <c r="O77" s="7">
        <f t="shared" si="6"/>
        <v>0.35</v>
      </c>
      <c r="P77" s="7">
        <f t="shared" si="5"/>
        <v>0.5</v>
      </c>
      <c r="Q77" s="37" t="s">
        <v>21</v>
      </c>
    </row>
    <row r="78" s="1" customFormat="1" ht="27" spans="1:17">
      <c r="A78" s="20">
        <v>44578</v>
      </c>
      <c r="B78" s="18">
        <v>3295</v>
      </c>
      <c r="C78" s="1">
        <v>1178</v>
      </c>
      <c r="D78" s="2">
        <v>112</v>
      </c>
      <c r="E78" s="3">
        <v>29</v>
      </c>
      <c r="F78" s="1">
        <v>17</v>
      </c>
      <c r="G78" s="1">
        <v>84</v>
      </c>
      <c r="H78" s="1">
        <v>13</v>
      </c>
      <c r="I78" s="4">
        <v>4</v>
      </c>
      <c r="J78" s="4" t="s">
        <v>138</v>
      </c>
      <c r="K78" s="5">
        <v>7</v>
      </c>
      <c r="L78" s="4" t="s">
        <v>139</v>
      </c>
      <c r="M78" s="6">
        <f t="shared" si="7"/>
        <v>24</v>
      </c>
      <c r="N78" s="7">
        <f t="shared" si="8"/>
        <v>0.228070175438596</v>
      </c>
      <c r="O78" s="7">
        <f t="shared" si="6"/>
        <v>0.571428571428571</v>
      </c>
      <c r="P78" s="7">
        <f t="shared" si="5"/>
        <v>0.7</v>
      </c>
      <c r="Q78" s="37" t="s">
        <v>21</v>
      </c>
    </row>
    <row r="79" s="1" customFormat="1" spans="1:17">
      <c r="A79" s="17">
        <v>44579</v>
      </c>
      <c r="B79" s="1">
        <v>1340</v>
      </c>
      <c r="C79" s="21">
        <v>3180</v>
      </c>
      <c r="D79" s="2">
        <v>53</v>
      </c>
      <c r="E79" s="3">
        <v>63</v>
      </c>
      <c r="F79" s="21">
        <v>48</v>
      </c>
      <c r="G79" s="1">
        <v>25</v>
      </c>
      <c r="H79" s="1">
        <v>12</v>
      </c>
      <c r="I79" s="4">
        <v>0</v>
      </c>
      <c r="J79" s="4"/>
      <c r="K79" s="5">
        <v>4</v>
      </c>
      <c r="L79" s="4" t="s">
        <v>140</v>
      </c>
      <c r="M79" s="6">
        <f t="shared" si="7"/>
        <v>16</v>
      </c>
      <c r="N79" s="7">
        <f t="shared" si="8"/>
        <v>0.142857142857143</v>
      </c>
      <c r="O79" s="7">
        <f t="shared" si="6"/>
        <v>0</v>
      </c>
      <c r="P79" s="7">
        <f t="shared" si="5"/>
        <v>0.363636363636364</v>
      </c>
      <c r="Q79" s="38" t="s">
        <v>23</v>
      </c>
    </row>
    <row r="80" s="1" customFormat="1" spans="1:17">
      <c r="A80" s="17">
        <v>44580</v>
      </c>
      <c r="B80" s="1">
        <v>2348</v>
      </c>
      <c r="C80" s="1">
        <v>2134</v>
      </c>
      <c r="D80" s="2">
        <v>70</v>
      </c>
      <c r="E80" s="3">
        <v>20</v>
      </c>
      <c r="F80" s="1">
        <v>21</v>
      </c>
      <c r="G80" s="1">
        <v>45</v>
      </c>
      <c r="H80" s="1">
        <v>4</v>
      </c>
      <c r="I80" s="4">
        <v>6</v>
      </c>
      <c r="J80" s="4" t="s">
        <v>141</v>
      </c>
      <c r="K80" s="5">
        <v>3</v>
      </c>
      <c r="L80" s="4" t="s">
        <v>142</v>
      </c>
      <c r="M80" s="6">
        <f t="shared" si="7"/>
        <v>13</v>
      </c>
      <c r="N80" s="7">
        <f t="shared" si="8"/>
        <v>0.16</v>
      </c>
      <c r="O80" s="7">
        <f t="shared" si="6"/>
        <v>0.5</v>
      </c>
      <c r="P80" s="7">
        <f t="shared" si="5"/>
        <v>0.75</v>
      </c>
      <c r="Q80" s="37" t="s">
        <v>21</v>
      </c>
    </row>
    <row r="81" s="1" customFormat="1" ht="27" spans="1:17">
      <c r="A81" s="17">
        <v>44581</v>
      </c>
      <c r="B81" s="1">
        <v>745</v>
      </c>
      <c r="C81" s="21">
        <v>3829</v>
      </c>
      <c r="D81" s="2">
        <v>48</v>
      </c>
      <c r="E81" s="3">
        <v>30</v>
      </c>
      <c r="F81" s="1">
        <v>34</v>
      </c>
      <c r="G81" s="1">
        <v>25</v>
      </c>
      <c r="H81" s="1">
        <v>9</v>
      </c>
      <c r="I81" s="4">
        <v>1</v>
      </c>
      <c r="J81" s="4" t="s">
        <v>143</v>
      </c>
      <c r="K81" s="5">
        <v>7</v>
      </c>
      <c r="L81" s="4" t="s">
        <v>144</v>
      </c>
      <c r="M81" s="6">
        <f t="shared" si="7"/>
        <v>17</v>
      </c>
      <c r="N81" s="7">
        <f t="shared" si="8"/>
        <v>0.2</v>
      </c>
      <c r="O81" s="7">
        <f t="shared" si="6"/>
        <v>0.25</v>
      </c>
      <c r="P81" s="7">
        <f t="shared" si="5"/>
        <v>0.777777777777778</v>
      </c>
      <c r="Q81" s="37" t="s">
        <v>21</v>
      </c>
    </row>
    <row r="82" s="1" customFormat="1" spans="1:17">
      <c r="A82" s="17">
        <v>44582</v>
      </c>
      <c r="B82" s="1">
        <v>1375</v>
      </c>
      <c r="C82" s="21">
        <v>3107</v>
      </c>
      <c r="D82" s="2">
        <v>59</v>
      </c>
      <c r="E82" s="3">
        <v>49</v>
      </c>
      <c r="F82" s="1">
        <v>27</v>
      </c>
      <c r="G82" s="1">
        <v>38</v>
      </c>
      <c r="H82" s="1">
        <v>4</v>
      </c>
      <c r="I82" s="4">
        <v>4</v>
      </c>
      <c r="J82" s="4" t="s">
        <v>145</v>
      </c>
      <c r="K82" s="5">
        <v>2</v>
      </c>
      <c r="L82" s="4" t="s">
        <v>146</v>
      </c>
      <c r="M82" s="6">
        <f t="shared" si="7"/>
        <v>10</v>
      </c>
      <c r="N82" s="7">
        <f t="shared" si="8"/>
        <v>0.16</v>
      </c>
      <c r="O82" s="7">
        <f t="shared" si="6"/>
        <v>0.444444444444444</v>
      </c>
      <c r="P82" s="7">
        <f t="shared" si="5"/>
        <v>0.25</v>
      </c>
      <c r="Q82" s="38" t="s">
        <v>23</v>
      </c>
    </row>
    <row r="83" s="1" customFormat="1" spans="1:17">
      <c r="A83" s="43">
        <v>44585</v>
      </c>
      <c r="B83" s="1">
        <v>1782</v>
      </c>
      <c r="C83" s="21">
        <v>2705</v>
      </c>
      <c r="D83" s="2">
        <v>65</v>
      </c>
      <c r="E83" s="3">
        <v>45</v>
      </c>
      <c r="F83" s="1">
        <v>22</v>
      </c>
      <c r="G83" s="1">
        <v>41</v>
      </c>
      <c r="H83" s="1">
        <v>10</v>
      </c>
      <c r="I83" s="4">
        <v>1</v>
      </c>
      <c r="J83" s="45" t="s">
        <v>147</v>
      </c>
      <c r="K83" s="5">
        <v>2</v>
      </c>
      <c r="L83" s="45" t="s">
        <v>148</v>
      </c>
      <c r="M83" s="6">
        <f t="shared" si="7"/>
        <v>13</v>
      </c>
      <c r="N83" s="7">
        <f t="shared" si="8"/>
        <v>0.263157894736842</v>
      </c>
      <c r="O83" s="7">
        <f t="shared" si="6"/>
        <v>0.25</v>
      </c>
      <c r="P83" s="7">
        <f t="shared" si="5"/>
        <v>0.333333333333333</v>
      </c>
      <c r="Q83" s="47" t="s">
        <v>21</v>
      </c>
    </row>
    <row r="84" s="1" customFormat="1" spans="1:17">
      <c r="A84" s="17">
        <v>44586</v>
      </c>
      <c r="B84" s="1">
        <v>268</v>
      </c>
      <c r="C84" s="21">
        <v>4333</v>
      </c>
      <c r="D84" s="2">
        <v>31</v>
      </c>
      <c r="E84" s="3">
        <v>81</v>
      </c>
      <c r="F84" s="1">
        <v>31</v>
      </c>
      <c r="G84" s="1">
        <v>18</v>
      </c>
      <c r="H84" s="1">
        <v>3</v>
      </c>
      <c r="I84" s="4">
        <v>4</v>
      </c>
      <c r="J84" s="4" t="s">
        <v>149</v>
      </c>
      <c r="K84" s="5">
        <v>2</v>
      </c>
      <c r="L84" s="4" t="s">
        <v>150</v>
      </c>
      <c r="M84" s="6">
        <f t="shared" si="7"/>
        <v>9</v>
      </c>
      <c r="N84" s="7">
        <f t="shared" si="8"/>
        <v>0.0731707317073171</v>
      </c>
      <c r="O84" s="7">
        <f t="shared" si="6"/>
        <v>0.4</v>
      </c>
      <c r="P84" s="7">
        <f t="shared" ref="P84:P86" si="9">K84/(I83+K83)</f>
        <v>0.666666666666667</v>
      </c>
      <c r="Q84" s="37" t="s">
        <v>21</v>
      </c>
    </row>
    <row r="85" s="1" customFormat="1" spans="1:17">
      <c r="A85" s="17">
        <v>44587</v>
      </c>
      <c r="B85" s="18">
        <v>3088</v>
      </c>
      <c r="C85" s="1">
        <v>1406</v>
      </c>
      <c r="D85" s="2">
        <v>60</v>
      </c>
      <c r="E85" s="3">
        <v>48</v>
      </c>
      <c r="F85" s="1">
        <v>28</v>
      </c>
      <c r="G85" s="1">
        <v>42</v>
      </c>
      <c r="H85" s="1">
        <v>6</v>
      </c>
      <c r="I85" s="4">
        <v>0</v>
      </c>
      <c r="J85" s="4"/>
      <c r="K85" s="5">
        <v>3</v>
      </c>
      <c r="L85" s="4" t="s">
        <v>151</v>
      </c>
      <c r="M85" s="6">
        <f t="shared" si="7"/>
        <v>9</v>
      </c>
      <c r="N85" s="7">
        <f t="shared" si="8"/>
        <v>0.333333333333333</v>
      </c>
      <c r="O85" s="7">
        <f t="shared" si="6"/>
        <v>0</v>
      </c>
      <c r="P85" s="7">
        <f t="shared" si="9"/>
        <v>0.5</v>
      </c>
      <c r="Q85" s="38" t="s">
        <v>23</v>
      </c>
    </row>
    <row r="86" s="1" customFormat="1" spans="1:17">
      <c r="A86" s="17">
        <v>44588</v>
      </c>
      <c r="B86" s="1">
        <v>265</v>
      </c>
      <c r="C86" s="21">
        <v>4329</v>
      </c>
      <c r="D86" s="2">
        <v>17</v>
      </c>
      <c r="E86" s="3">
        <v>109</v>
      </c>
      <c r="F86" s="1">
        <v>47</v>
      </c>
      <c r="G86" s="1">
        <v>10</v>
      </c>
      <c r="H86" s="1">
        <v>3</v>
      </c>
      <c r="I86" s="4"/>
      <c r="J86" s="4"/>
      <c r="K86" s="5"/>
      <c r="L86" s="4"/>
      <c r="M86" s="6">
        <f t="shared" si="7"/>
        <v>3</v>
      </c>
      <c r="N86" s="7">
        <f t="shared" si="8"/>
        <v>0.0714285714285714</v>
      </c>
      <c r="O86" s="7">
        <f t="shared" ref="O86:O149" si="10">I86/H85</f>
        <v>0</v>
      </c>
      <c r="P86" s="7">
        <f t="shared" si="9"/>
        <v>0</v>
      </c>
      <c r="Q86" s="38" t="s">
        <v>23</v>
      </c>
    </row>
    <row r="87" s="1" customFormat="1" spans="1:17">
      <c r="A87" s="17">
        <v>44589</v>
      </c>
      <c r="B87" s="18">
        <v>3294</v>
      </c>
      <c r="C87" s="1">
        <v>1258</v>
      </c>
      <c r="D87" s="2">
        <v>63</v>
      </c>
      <c r="E87" s="3">
        <v>38</v>
      </c>
      <c r="F87" s="1">
        <v>27</v>
      </c>
      <c r="G87" s="1">
        <v>52</v>
      </c>
      <c r="H87" s="1">
        <v>2</v>
      </c>
      <c r="I87" s="4">
        <v>2</v>
      </c>
      <c r="J87" s="4" t="s">
        <v>152</v>
      </c>
      <c r="K87" s="5">
        <v>0</v>
      </c>
      <c r="L87" s="4"/>
      <c r="M87" s="6">
        <f t="shared" si="7"/>
        <v>4</v>
      </c>
      <c r="N87" s="7">
        <f t="shared" si="8"/>
        <v>0.2</v>
      </c>
      <c r="O87" s="7">
        <f t="shared" si="10"/>
        <v>0.666666666666667</v>
      </c>
      <c r="P87" s="7">
        <v>0</v>
      </c>
      <c r="Q87" s="37" t="s">
        <v>21</v>
      </c>
    </row>
    <row r="88" s="1" customFormat="1" spans="1:17">
      <c r="A88" s="20">
        <v>44599</v>
      </c>
      <c r="B88" s="18">
        <v>3448</v>
      </c>
      <c r="C88" s="1">
        <v>1110</v>
      </c>
      <c r="D88" s="2">
        <v>109</v>
      </c>
      <c r="E88" s="3">
        <v>47</v>
      </c>
      <c r="F88" s="1">
        <v>24</v>
      </c>
      <c r="G88" s="1">
        <v>76</v>
      </c>
      <c r="H88" s="1">
        <v>9</v>
      </c>
      <c r="I88" s="4">
        <v>0</v>
      </c>
      <c r="J88" s="4"/>
      <c r="K88" s="5">
        <v>1</v>
      </c>
      <c r="L88" s="4" t="s">
        <v>153</v>
      </c>
      <c r="M88" s="6">
        <f t="shared" si="7"/>
        <v>10</v>
      </c>
      <c r="N88" s="7">
        <f t="shared" si="8"/>
        <v>0.173076923076923</v>
      </c>
      <c r="O88" s="7">
        <f t="shared" si="10"/>
        <v>0</v>
      </c>
      <c r="P88" s="7">
        <f t="shared" ref="P88:P151" si="11">K88/(I87+K87)</f>
        <v>0.5</v>
      </c>
      <c r="Q88" s="37" t="s">
        <v>21</v>
      </c>
    </row>
    <row r="89" s="1" customFormat="1" spans="1:17">
      <c r="A89" s="17">
        <v>44600</v>
      </c>
      <c r="B89" s="18">
        <v>3630</v>
      </c>
      <c r="C89" s="1">
        <v>949</v>
      </c>
      <c r="D89" s="2">
        <v>97</v>
      </c>
      <c r="E89" s="3">
        <v>18</v>
      </c>
      <c r="F89" s="1">
        <v>21</v>
      </c>
      <c r="G89" s="1">
        <v>53</v>
      </c>
      <c r="H89" s="1">
        <v>16</v>
      </c>
      <c r="I89" s="4">
        <v>4</v>
      </c>
      <c r="J89" s="4" t="s">
        <v>154</v>
      </c>
      <c r="K89" s="5">
        <v>1</v>
      </c>
      <c r="L89" s="4" t="s">
        <v>155</v>
      </c>
      <c r="M89" s="6">
        <f t="shared" si="7"/>
        <v>21</v>
      </c>
      <c r="N89" s="7">
        <f t="shared" si="8"/>
        <v>0.210526315789474</v>
      </c>
      <c r="O89" s="7">
        <f t="shared" si="10"/>
        <v>0.444444444444444</v>
      </c>
      <c r="P89" s="7">
        <f t="shared" si="11"/>
        <v>1</v>
      </c>
      <c r="Q89" s="37" t="s">
        <v>21</v>
      </c>
    </row>
    <row r="90" s="1" customFormat="1" ht="27" spans="1:17">
      <c r="A90" s="17">
        <v>44601</v>
      </c>
      <c r="B90" s="18">
        <v>3500</v>
      </c>
      <c r="C90" s="1">
        <v>969</v>
      </c>
      <c r="D90" s="2">
        <v>115</v>
      </c>
      <c r="E90" s="3">
        <v>6</v>
      </c>
      <c r="F90" s="1">
        <v>18</v>
      </c>
      <c r="G90" s="1">
        <v>71</v>
      </c>
      <c r="H90" s="1">
        <v>12</v>
      </c>
      <c r="I90" s="4">
        <v>9</v>
      </c>
      <c r="J90" s="4" t="s">
        <v>156</v>
      </c>
      <c r="K90" s="5">
        <v>4</v>
      </c>
      <c r="L90" s="4" t="s">
        <v>157</v>
      </c>
      <c r="M90" s="6">
        <f t="shared" si="7"/>
        <v>25</v>
      </c>
      <c r="N90" s="7">
        <f t="shared" si="8"/>
        <v>0.226415094339623</v>
      </c>
      <c r="O90" s="7">
        <f t="shared" si="10"/>
        <v>0.5625</v>
      </c>
      <c r="P90" s="7">
        <f t="shared" si="11"/>
        <v>0.8</v>
      </c>
      <c r="Q90" s="37" t="s">
        <v>21</v>
      </c>
    </row>
    <row r="91" s="1" customFormat="1" ht="27" spans="1:19">
      <c r="A91" s="17">
        <v>44602</v>
      </c>
      <c r="B91" s="1">
        <v>1700</v>
      </c>
      <c r="C91" s="21">
        <v>2771</v>
      </c>
      <c r="D91" s="2">
        <v>68</v>
      </c>
      <c r="E91" s="3">
        <v>7</v>
      </c>
      <c r="F91" s="1">
        <v>30</v>
      </c>
      <c r="G91" s="1">
        <v>35</v>
      </c>
      <c r="H91" s="1">
        <v>9</v>
      </c>
      <c r="I91" s="4">
        <v>4</v>
      </c>
      <c r="J91" s="4" t="s">
        <v>158</v>
      </c>
      <c r="K91" s="5">
        <v>7</v>
      </c>
      <c r="L91" s="4" t="s">
        <v>159</v>
      </c>
      <c r="M91" s="6">
        <f t="shared" si="7"/>
        <v>20</v>
      </c>
      <c r="N91" s="7">
        <f t="shared" si="8"/>
        <v>0.126760563380282</v>
      </c>
      <c r="O91" s="7">
        <f t="shared" si="10"/>
        <v>0.333333333333333</v>
      </c>
      <c r="P91" s="7">
        <f t="shared" si="11"/>
        <v>0.538461538461538</v>
      </c>
      <c r="Q91" s="37" t="s">
        <v>21</v>
      </c>
      <c r="S91" s="1">
        <v>6</v>
      </c>
    </row>
    <row r="92" s="1" customFormat="1" ht="27" spans="1:17">
      <c r="A92" s="17">
        <v>44603</v>
      </c>
      <c r="B92" s="1">
        <v>597</v>
      </c>
      <c r="C92" s="21">
        <v>3964</v>
      </c>
      <c r="D92" s="2">
        <v>59</v>
      </c>
      <c r="E92" s="3">
        <v>21</v>
      </c>
      <c r="F92" s="1">
        <v>26</v>
      </c>
      <c r="G92" s="1">
        <v>35</v>
      </c>
      <c r="H92" s="1">
        <v>7</v>
      </c>
      <c r="I92" s="4">
        <v>3</v>
      </c>
      <c r="J92" s="4" t="s">
        <v>160</v>
      </c>
      <c r="K92" s="5">
        <v>6</v>
      </c>
      <c r="L92" s="4" t="s">
        <v>161</v>
      </c>
      <c r="M92" s="6">
        <f t="shared" si="7"/>
        <v>16</v>
      </c>
      <c r="N92" s="7">
        <f t="shared" si="8"/>
        <v>0.2</v>
      </c>
      <c r="O92" s="7">
        <f t="shared" si="10"/>
        <v>0.333333333333333</v>
      </c>
      <c r="P92" s="7">
        <f t="shared" si="11"/>
        <v>0.545454545454545</v>
      </c>
      <c r="Q92" s="37" t="s">
        <v>21</v>
      </c>
    </row>
    <row r="93" s="1" customFormat="1" spans="1:17">
      <c r="A93" s="20">
        <v>44606</v>
      </c>
      <c r="B93" s="1">
        <v>2179</v>
      </c>
      <c r="C93" s="1">
        <v>2301</v>
      </c>
      <c r="D93" s="2">
        <v>96</v>
      </c>
      <c r="E93" s="3">
        <v>18</v>
      </c>
      <c r="F93" s="1">
        <v>26</v>
      </c>
      <c r="G93" s="1">
        <v>68</v>
      </c>
      <c r="H93" s="1">
        <v>8</v>
      </c>
      <c r="I93" s="4">
        <v>6</v>
      </c>
      <c r="J93" s="4" t="s">
        <v>162</v>
      </c>
      <c r="K93" s="5">
        <v>2</v>
      </c>
      <c r="L93" s="4" t="s">
        <v>163</v>
      </c>
      <c r="M93" s="6">
        <f t="shared" si="7"/>
        <v>16</v>
      </c>
      <c r="N93" s="7">
        <f t="shared" si="8"/>
        <v>0.228571428571429</v>
      </c>
      <c r="O93" s="7">
        <f t="shared" si="10"/>
        <v>0.857142857142857</v>
      </c>
      <c r="P93" s="7">
        <f t="shared" si="11"/>
        <v>0.222222222222222</v>
      </c>
      <c r="Q93" s="38" t="s">
        <v>23</v>
      </c>
    </row>
    <row r="94" s="1" customFormat="1" spans="1:17">
      <c r="A94" s="17">
        <v>44607</v>
      </c>
      <c r="B94" s="1">
        <v>2381</v>
      </c>
      <c r="C94" s="1">
        <v>2083</v>
      </c>
      <c r="D94" s="2">
        <v>68</v>
      </c>
      <c r="E94" s="3">
        <v>18</v>
      </c>
      <c r="F94" s="1">
        <v>33</v>
      </c>
      <c r="G94" s="1">
        <v>43</v>
      </c>
      <c r="H94" s="1">
        <v>11</v>
      </c>
      <c r="I94" s="4">
        <v>0</v>
      </c>
      <c r="J94" s="4"/>
      <c r="K94" s="5">
        <v>2</v>
      </c>
      <c r="L94" s="4" t="s">
        <v>164</v>
      </c>
      <c r="M94" s="6">
        <f t="shared" si="7"/>
        <v>13</v>
      </c>
      <c r="N94" s="7">
        <f t="shared" si="8"/>
        <v>0.161764705882353</v>
      </c>
      <c r="O94" s="7">
        <f t="shared" si="10"/>
        <v>0</v>
      </c>
      <c r="P94" s="7">
        <f t="shared" si="11"/>
        <v>0.25</v>
      </c>
      <c r="Q94" s="38" t="s">
        <v>23</v>
      </c>
    </row>
    <row r="95" s="1" customFormat="1" spans="1:17">
      <c r="A95" s="17">
        <v>44608</v>
      </c>
      <c r="B95" s="18">
        <v>3522</v>
      </c>
      <c r="C95" s="1">
        <v>999</v>
      </c>
      <c r="D95" s="2">
        <v>81</v>
      </c>
      <c r="E95" s="3">
        <v>4</v>
      </c>
      <c r="F95" s="1">
        <v>30</v>
      </c>
      <c r="G95" s="1">
        <v>54</v>
      </c>
      <c r="H95" s="1">
        <v>8</v>
      </c>
      <c r="I95" s="4">
        <v>6</v>
      </c>
      <c r="J95" s="4" t="s">
        <v>165</v>
      </c>
      <c r="K95" s="5">
        <v>2</v>
      </c>
      <c r="L95" s="4" t="s">
        <v>166</v>
      </c>
      <c r="M95" s="6">
        <f t="shared" si="7"/>
        <v>16</v>
      </c>
      <c r="N95" s="7">
        <f t="shared" si="8"/>
        <v>0.186046511627907</v>
      </c>
      <c r="O95" s="7">
        <f t="shared" si="10"/>
        <v>0.545454545454545</v>
      </c>
      <c r="P95" s="7">
        <f t="shared" si="11"/>
        <v>1</v>
      </c>
      <c r="Q95" s="37" t="s">
        <v>21</v>
      </c>
    </row>
    <row r="96" s="1" customFormat="1" spans="1:17">
      <c r="A96" s="17">
        <v>44609</v>
      </c>
      <c r="B96" s="1">
        <v>1580</v>
      </c>
      <c r="C96" s="21">
        <v>2946</v>
      </c>
      <c r="D96" s="2">
        <v>56</v>
      </c>
      <c r="E96" s="3">
        <v>15</v>
      </c>
      <c r="F96" s="1">
        <v>46</v>
      </c>
      <c r="G96" s="1">
        <v>34</v>
      </c>
      <c r="H96" s="1">
        <v>7</v>
      </c>
      <c r="I96" s="4">
        <v>0</v>
      </c>
      <c r="J96" s="4"/>
      <c r="K96" s="5">
        <v>3</v>
      </c>
      <c r="L96" s="4" t="s">
        <v>167</v>
      </c>
      <c r="M96" s="6">
        <f t="shared" si="7"/>
        <v>10</v>
      </c>
      <c r="N96" s="7">
        <f t="shared" si="8"/>
        <v>0.12962962962963</v>
      </c>
      <c r="O96" s="7">
        <f t="shared" si="10"/>
        <v>0</v>
      </c>
      <c r="P96" s="7">
        <f t="shared" si="11"/>
        <v>0.375</v>
      </c>
      <c r="Q96" s="38" t="s">
        <v>23</v>
      </c>
    </row>
    <row r="97" s="1" customFormat="1" spans="1:17">
      <c r="A97" s="17">
        <v>44610</v>
      </c>
      <c r="B97" s="18">
        <v>3061</v>
      </c>
      <c r="C97" s="1">
        <v>1447</v>
      </c>
      <c r="D97" s="2">
        <v>68</v>
      </c>
      <c r="E97" s="3">
        <v>1</v>
      </c>
      <c r="F97" s="1">
        <v>23</v>
      </c>
      <c r="G97" s="1">
        <v>40</v>
      </c>
      <c r="H97" s="1">
        <v>3</v>
      </c>
      <c r="I97" s="4">
        <v>4</v>
      </c>
      <c r="J97" s="4" t="s">
        <v>168</v>
      </c>
      <c r="K97" s="5">
        <v>3</v>
      </c>
      <c r="L97" s="4" t="s">
        <v>169</v>
      </c>
      <c r="M97" s="6">
        <f t="shared" si="7"/>
        <v>10</v>
      </c>
      <c r="N97" s="7">
        <f t="shared" si="8"/>
        <v>0.0882352941176471</v>
      </c>
      <c r="O97" s="7">
        <f t="shared" si="10"/>
        <v>0.571428571428571</v>
      </c>
      <c r="P97" s="7">
        <f t="shared" si="11"/>
        <v>1</v>
      </c>
      <c r="Q97" s="37" t="s">
        <v>21</v>
      </c>
    </row>
    <row r="98" s="1" customFormat="1" ht="27" spans="1:17">
      <c r="A98" s="20">
        <v>44613</v>
      </c>
      <c r="B98" s="18">
        <v>3389</v>
      </c>
      <c r="C98" s="1">
        <v>1138</v>
      </c>
      <c r="D98" s="2">
        <v>112</v>
      </c>
      <c r="E98" s="3">
        <v>6</v>
      </c>
      <c r="F98" s="1">
        <v>16</v>
      </c>
      <c r="G98" s="1">
        <v>69</v>
      </c>
      <c r="H98" s="1">
        <v>20</v>
      </c>
      <c r="I98" s="4">
        <v>2</v>
      </c>
      <c r="J98" s="4" t="s">
        <v>170</v>
      </c>
      <c r="K98" s="5">
        <v>7</v>
      </c>
      <c r="L98" s="4" t="s">
        <v>171</v>
      </c>
      <c r="M98" s="6">
        <f t="shared" si="7"/>
        <v>29</v>
      </c>
      <c r="N98" s="7">
        <f t="shared" si="8"/>
        <v>0.5</v>
      </c>
      <c r="O98" s="7">
        <f t="shared" si="10"/>
        <v>0.666666666666667</v>
      </c>
      <c r="P98" s="7">
        <f t="shared" si="11"/>
        <v>1</v>
      </c>
      <c r="Q98" s="37" t="s">
        <v>21</v>
      </c>
    </row>
    <row r="99" s="1" customFormat="1" ht="27" spans="1:22">
      <c r="A99" s="17">
        <v>44614</v>
      </c>
      <c r="B99" s="1">
        <v>895</v>
      </c>
      <c r="C99" s="21">
        <v>3769</v>
      </c>
      <c r="D99" s="2">
        <v>58</v>
      </c>
      <c r="E99" s="3">
        <v>10</v>
      </c>
      <c r="F99" s="1">
        <v>32</v>
      </c>
      <c r="G99" s="1">
        <v>21</v>
      </c>
      <c r="H99" s="1">
        <v>8</v>
      </c>
      <c r="I99" s="4">
        <v>13</v>
      </c>
      <c r="J99" s="4" t="s">
        <v>172</v>
      </c>
      <c r="K99" s="5">
        <v>3</v>
      </c>
      <c r="L99" s="4" t="s">
        <v>173</v>
      </c>
      <c r="M99" s="6">
        <f t="shared" si="7"/>
        <v>24</v>
      </c>
      <c r="N99" s="7">
        <f t="shared" si="8"/>
        <v>0.115942028985507</v>
      </c>
      <c r="O99" s="7">
        <f t="shared" si="10"/>
        <v>0.65</v>
      </c>
      <c r="P99" s="7">
        <f t="shared" si="11"/>
        <v>0.333333333333333</v>
      </c>
      <c r="Q99" s="38" t="s">
        <v>23</v>
      </c>
      <c r="R99" s="48" t="s">
        <v>174</v>
      </c>
      <c r="S99" s="28"/>
      <c r="T99" s="28"/>
      <c r="U99" s="28"/>
      <c r="V99" s="28"/>
    </row>
    <row r="100" s="1" customFormat="1" ht="27" spans="1:17">
      <c r="A100" s="17">
        <v>44615</v>
      </c>
      <c r="B100" s="18">
        <v>3608</v>
      </c>
      <c r="C100" s="1">
        <v>976</v>
      </c>
      <c r="D100" s="2">
        <v>100</v>
      </c>
      <c r="E100" s="3">
        <v>3</v>
      </c>
      <c r="F100" s="1">
        <v>19</v>
      </c>
      <c r="G100" s="1">
        <v>67</v>
      </c>
      <c r="H100" s="1">
        <v>5</v>
      </c>
      <c r="I100" s="4">
        <v>5</v>
      </c>
      <c r="J100" s="4" t="s">
        <v>175</v>
      </c>
      <c r="K100" s="5">
        <v>10</v>
      </c>
      <c r="L100" s="4" t="s">
        <v>176</v>
      </c>
      <c r="M100" s="6">
        <f t="shared" si="7"/>
        <v>20</v>
      </c>
      <c r="N100" s="7">
        <f t="shared" si="8"/>
        <v>0.238095238095238</v>
      </c>
      <c r="O100" s="7">
        <f t="shared" si="10"/>
        <v>0.625</v>
      </c>
      <c r="P100" s="7">
        <f t="shared" si="11"/>
        <v>0.625</v>
      </c>
      <c r="Q100" s="37" t="s">
        <v>21</v>
      </c>
    </row>
    <row r="101" s="1" customFormat="1" spans="1:17">
      <c r="A101" s="17">
        <v>44616</v>
      </c>
      <c r="B101" s="1">
        <v>658</v>
      </c>
      <c r="C101" s="21">
        <v>4027</v>
      </c>
      <c r="D101" s="2">
        <v>43</v>
      </c>
      <c r="E101" s="3">
        <v>36</v>
      </c>
      <c r="F101" s="1">
        <v>54</v>
      </c>
      <c r="G101" s="1">
        <v>23</v>
      </c>
      <c r="H101" s="1">
        <v>4</v>
      </c>
      <c r="I101" s="4">
        <v>3</v>
      </c>
      <c r="J101" s="4" t="s">
        <v>177</v>
      </c>
      <c r="K101" s="5">
        <v>5</v>
      </c>
      <c r="L101" s="4" t="s">
        <v>178</v>
      </c>
      <c r="M101" s="6">
        <f t="shared" si="7"/>
        <v>12</v>
      </c>
      <c r="N101" s="7">
        <f t="shared" si="8"/>
        <v>0.0597014925373134</v>
      </c>
      <c r="O101" s="7">
        <f t="shared" si="10"/>
        <v>0.6</v>
      </c>
      <c r="P101" s="7">
        <f t="shared" si="11"/>
        <v>0.333333333333333</v>
      </c>
      <c r="Q101" s="38" t="s">
        <v>23</v>
      </c>
    </row>
    <row r="102" s="1" customFormat="1" spans="1:17">
      <c r="A102" s="17">
        <v>44617</v>
      </c>
      <c r="B102" s="18">
        <v>3383</v>
      </c>
      <c r="C102" s="1">
        <v>1189</v>
      </c>
      <c r="D102" s="2">
        <v>73</v>
      </c>
      <c r="E102" s="3">
        <v>7</v>
      </c>
      <c r="F102" s="1">
        <v>27</v>
      </c>
      <c r="G102" s="1">
        <v>47</v>
      </c>
      <c r="H102" s="1">
        <v>6</v>
      </c>
      <c r="I102" s="4">
        <v>2</v>
      </c>
      <c r="J102" s="4" t="s">
        <v>179</v>
      </c>
      <c r="K102" s="5">
        <v>3</v>
      </c>
      <c r="L102" s="4" t="s">
        <v>180</v>
      </c>
      <c r="M102" s="6">
        <f t="shared" si="7"/>
        <v>11</v>
      </c>
      <c r="N102" s="7">
        <f t="shared" si="8"/>
        <v>0.260869565217391</v>
      </c>
      <c r="O102" s="7">
        <f t="shared" si="10"/>
        <v>0.5</v>
      </c>
      <c r="P102" s="7">
        <f t="shared" si="11"/>
        <v>0.375</v>
      </c>
      <c r="Q102" s="38" t="s">
        <v>23</v>
      </c>
    </row>
    <row r="103" s="1" customFormat="1" spans="1:17">
      <c r="A103" s="20">
        <v>44620</v>
      </c>
      <c r="B103" s="1">
        <v>1981</v>
      </c>
      <c r="C103" s="21">
        <v>2601</v>
      </c>
      <c r="D103" s="2">
        <v>58</v>
      </c>
      <c r="E103" s="3">
        <v>22</v>
      </c>
      <c r="F103" s="1">
        <v>27</v>
      </c>
      <c r="G103" s="1">
        <v>33</v>
      </c>
      <c r="H103" s="1">
        <v>5</v>
      </c>
      <c r="I103" s="4">
        <v>3</v>
      </c>
      <c r="J103" s="4" t="s">
        <v>181</v>
      </c>
      <c r="K103" s="5">
        <v>2</v>
      </c>
      <c r="L103" s="4" t="s">
        <v>182</v>
      </c>
      <c r="M103" s="6">
        <f t="shared" si="7"/>
        <v>10</v>
      </c>
      <c r="N103" s="7">
        <f t="shared" si="8"/>
        <v>0.106382978723404</v>
      </c>
      <c r="O103" s="7">
        <f t="shared" si="10"/>
        <v>0.5</v>
      </c>
      <c r="P103" s="7">
        <f t="shared" si="11"/>
        <v>0.4</v>
      </c>
      <c r="Q103" s="37" t="s">
        <v>21</v>
      </c>
    </row>
    <row r="104" s="1" customFormat="1" spans="1:17">
      <c r="A104" s="17">
        <v>44621</v>
      </c>
      <c r="B104" s="18">
        <v>3207</v>
      </c>
      <c r="C104" s="1">
        <v>1385</v>
      </c>
      <c r="D104" s="2">
        <v>68</v>
      </c>
      <c r="E104" s="3">
        <v>7</v>
      </c>
      <c r="F104" s="1">
        <v>24</v>
      </c>
      <c r="G104" s="1">
        <v>41</v>
      </c>
      <c r="H104" s="1">
        <v>6</v>
      </c>
      <c r="I104" s="4">
        <v>2</v>
      </c>
      <c r="J104" s="4" t="s">
        <v>183</v>
      </c>
      <c r="K104" s="5">
        <v>2</v>
      </c>
      <c r="L104" s="4" t="s">
        <v>184</v>
      </c>
      <c r="M104" s="6">
        <f t="shared" si="7"/>
        <v>10</v>
      </c>
      <c r="N104" s="7">
        <f t="shared" si="8"/>
        <v>0.181818181818182</v>
      </c>
      <c r="O104" s="7">
        <f t="shared" si="10"/>
        <v>0.4</v>
      </c>
      <c r="P104" s="7">
        <f t="shared" si="11"/>
        <v>0.4</v>
      </c>
      <c r="Q104" s="37" t="s">
        <v>21</v>
      </c>
    </row>
    <row r="105" s="1" customFormat="1" spans="1:17">
      <c r="A105" s="17">
        <v>44622</v>
      </c>
      <c r="B105" s="18">
        <v>2623</v>
      </c>
      <c r="C105" s="1">
        <v>1941</v>
      </c>
      <c r="D105" s="2">
        <v>73</v>
      </c>
      <c r="E105" s="3">
        <v>2</v>
      </c>
      <c r="F105" s="1">
        <v>17</v>
      </c>
      <c r="G105" s="1">
        <v>47</v>
      </c>
      <c r="H105" s="1">
        <v>11</v>
      </c>
      <c r="I105" s="4">
        <v>1</v>
      </c>
      <c r="J105" s="4" t="s">
        <v>185</v>
      </c>
      <c r="K105" s="5">
        <v>4</v>
      </c>
      <c r="L105" s="4" t="s">
        <v>186</v>
      </c>
      <c r="M105" s="6">
        <f t="shared" si="7"/>
        <v>16</v>
      </c>
      <c r="N105" s="7">
        <f t="shared" si="8"/>
        <v>0.268292682926829</v>
      </c>
      <c r="O105" s="7">
        <f t="shared" si="10"/>
        <v>0.166666666666667</v>
      </c>
      <c r="P105" s="7">
        <f t="shared" si="11"/>
        <v>1</v>
      </c>
      <c r="Q105" s="37" t="s">
        <v>21</v>
      </c>
    </row>
    <row r="106" s="1" customFormat="1" spans="1:17">
      <c r="A106" s="17">
        <v>44623</v>
      </c>
      <c r="B106" s="1">
        <v>1892</v>
      </c>
      <c r="C106" s="21">
        <v>2711</v>
      </c>
      <c r="D106" s="2">
        <v>91</v>
      </c>
      <c r="E106" s="3">
        <v>10</v>
      </c>
      <c r="F106" s="1">
        <v>22</v>
      </c>
      <c r="G106" s="1">
        <v>48</v>
      </c>
      <c r="H106" s="1">
        <v>20</v>
      </c>
      <c r="I106" s="4">
        <v>3</v>
      </c>
      <c r="J106" s="4" t="s">
        <v>187</v>
      </c>
      <c r="K106" s="5">
        <v>4</v>
      </c>
      <c r="L106" s="4" t="s">
        <v>188</v>
      </c>
      <c r="M106" s="6">
        <f t="shared" si="7"/>
        <v>27</v>
      </c>
      <c r="N106" s="7">
        <f t="shared" si="8"/>
        <v>0.425531914893617</v>
      </c>
      <c r="O106" s="7">
        <f t="shared" si="10"/>
        <v>0.272727272727273</v>
      </c>
      <c r="P106" s="7">
        <f t="shared" si="11"/>
        <v>0.8</v>
      </c>
      <c r="Q106" s="37" t="s">
        <v>21</v>
      </c>
    </row>
    <row r="107" s="1" customFormat="1" spans="1:17">
      <c r="A107" s="17">
        <v>44624</v>
      </c>
      <c r="B107" s="1">
        <v>1032</v>
      </c>
      <c r="C107" s="21">
        <v>3614</v>
      </c>
      <c r="D107" s="2">
        <v>59</v>
      </c>
      <c r="E107" s="3">
        <v>26</v>
      </c>
      <c r="F107" s="1">
        <v>33</v>
      </c>
      <c r="G107" s="1">
        <v>31</v>
      </c>
      <c r="H107" s="1">
        <v>3</v>
      </c>
      <c r="I107" s="4">
        <v>7</v>
      </c>
      <c r="J107" s="4" t="s">
        <v>189</v>
      </c>
      <c r="K107" s="5">
        <v>4</v>
      </c>
      <c r="L107" s="4" t="s">
        <v>190</v>
      </c>
      <c r="M107" s="6">
        <f t="shared" si="7"/>
        <v>14</v>
      </c>
      <c r="N107" s="7">
        <f t="shared" si="8"/>
        <v>0.0625</v>
      </c>
      <c r="O107" s="7">
        <f t="shared" si="10"/>
        <v>0.35</v>
      </c>
      <c r="P107" s="7">
        <f t="shared" si="11"/>
        <v>0.571428571428571</v>
      </c>
      <c r="Q107" s="38" t="s">
        <v>23</v>
      </c>
    </row>
    <row r="108" s="1" customFormat="1" ht="27" spans="1:22">
      <c r="A108" s="20">
        <v>44627</v>
      </c>
      <c r="B108" s="1">
        <v>836</v>
      </c>
      <c r="C108" s="21">
        <v>3822</v>
      </c>
      <c r="D108" s="2">
        <v>64</v>
      </c>
      <c r="E108" s="3">
        <v>23</v>
      </c>
      <c r="F108" s="1">
        <v>26</v>
      </c>
      <c r="G108" s="1">
        <v>36</v>
      </c>
      <c r="H108" s="1">
        <v>8</v>
      </c>
      <c r="I108" s="4">
        <v>1</v>
      </c>
      <c r="J108" s="4" t="s">
        <v>191</v>
      </c>
      <c r="K108" s="5">
        <v>6</v>
      </c>
      <c r="L108" s="4" t="s">
        <v>192</v>
      </c>
      <c r="M108" s="6">
        <f t="shared" si="7"/>
        <v>15</v>
      </c>
      <c r="N108" s="7">
        <f t="shared" si="8"/>
        <v>0.258064516129032</v>
      </c>
      <c r="O108" s="7">
        <f t="shared" si="10"/>
        <v>0.333333333333333</v>
      </c>
      <c r="P108" s="7">
        <f t="shared" si="11"/>
        <v>0.545454545454545</v>
      </c>
      <c r="Q108" s="38" t="s">
        <v>23</v>
      </c>
      <c r="R108" s="28" t="s">
        <v>193</v>
      </c>
      <c r="S108" s="28"/>
      <c r="T108" s="28"/>
      <c r="U108" s="28"/>
      <c r="V108" s="28"/>
    </row>
    <row r="109" s="1" customFormat="1" spans="1:22">
      <c r="A109" s="17">
        <v>44628</v>
      </c>
      <c r="B109" s="1">
        <v>451</v>
      </c>
      <c r="C109" s="21">
        <v>4252</v>
      </c>
      <c r="D109" s="2">
        <v>23</v>
      </c>
      <c r="E109" s="3">
        <v>77</v>
      </c>
      <c r="F109" s="1">
        <v>60</v>
      </c>
      <c r="G109" s="1">
        <v>13</v>
      </c>
      <c r="H109" s="1">
        <v>6</v>
      </c>
      <c r="I109" s="4">
        <v>1</v>
      </c>
      <c r="J109" s="4" t="s">
        <v>194</v>
      </c>
      <c r="K109" s="5">
        <v>1</v>
      </c>
      <c r="L109" s="4" t="s">
        <v>195</v>
      </c>
      <c r="M109" s="6">
        <f t="shared" si="7"/>
        <v>8</v>
      </c>
      <c r="N109" s="7">
        <f t="shared" si="8"/>
        <v>0.166666666666667</v>
      </c>
      <c r="O109" s="7">
        <f t="shared" si="10"/>
        <v>0.125</v>
      </c>
      <c r="P109" s="7">
        <f t="shared" si="11"/>
        <v>0.142857142857143</v>
      </c>
      <c r="Q109" s="38" t="s">
        <v>23</v>
      </c>
      <c r="R109" s="28"/>
      <c r="S109" s="28"/>
      <c r="T109" s="28"/>
      <c r="U109" s="28"/>
      <c r="V109" s="28"/>
    </row>
    <row r="110" s="1" customFormat="1" spans="1:17">
      <c r="A110" s="17">
        <v>44629</v>
      </c>
      <c r="B110" s="1">
        <v>1082</v>
      </c>
      <c r="C110" s="21">
        <v>3604</v>
      </c>
      <c r="D110" s="2">
        <v>53</v>
      </c>
      <c r="E110" s="3">
        <v>23</v>
      </c>
      <c r="F110" s="1">
        <v>32</v>
      </c>
      <c r="G110" s="1">
        <v>35</v>
      </c>
      <c r="H110" s="1">
        <v>7</v>
      </c>
      <c r="I110" s="4">
        <v>3</v>
      </c>
      <c r="J110" s="4" t="s">
        <v>196</v>
      </c>
      <c r="K110" s="5">
        <v>1</v>
      </c>
      <c r="L110" s="4" t="s">
        <v>197</v>
      </c>
      <c r="M110" s="6">
        <f t="shared" si="7"/>
        <v>11</v>
      </c>
      <c r="N110" s="7">
        <f t="shared" si="8"/>
        <v>0.538461538461538</v>
      </c>
      <c r="O110" s="7">
        <f t="shared" si="10"/>
        <v>0.5</v>
      </c>
      <c r="P110" s="7">
        <f t="shared" si="11"/>
        <v>0.5</v>
      </c>
      <c r="Q110" s="37" t="s">
        <v>21</v>
      </c>
    </row>
    <row r="111" s="1" customFormat="1" spans="1:17">
      <c r="A111" s="17">
        <v>44630</v>
      </c>
      <c r="B111" s="18">
        <v>3636</v>
      </c>
      <c r="C111" s="1">
        <v>985</v>
      </c>
      <c r="D111" s="2">
        <v>98</v>
      </c>
      <c r="E111" s="3">
        <v>4</v>
      </c>
      <c r="F111" s="1">
        <v>31</v>
      </c>
      <c r="G111" s="1">
        <v>64</v>
      </c>
      <c r="H111" s="1">
        <v>12</v>
      </c>
      <c r="I111" s="1">
        <v>4</v>
      </c>
      <c r="J111" s="4" t="s">
        <v>198</v>
      </c>
      <c r="K111" s="5">
        <v>3</v>
      </c>
      <c r="L111" s="4" t="s">
        <v>199</v>
      </c>
      <c r="M111" s="6">
        <f t="shared" si="7"/>
        <v>19</v>
      </c>
      <c r="N111" s="7">
        <f t="shared" si="8"/>
        <v>0.342857142857143</v>
      </c>
      <c r="O111" s="7">
        <f t="shared" si="10"/>
        <v>0.571428571428571</v>
      </c>
      <c r="P111" s="7">
        <f t="shared" si="11"/>
        <v>0.75</v>
      </c>
      <c r="Q111" s="37" t="s">
        <v>21</v>
      </c>
    </row>
    <row r="112" s="1" customFormat="1" spans="1:17">
      <c r="A112" s="17">
        <v>44631</v>
      </c>
      <c r="B112" s="18">
        <v>2920</v>
      </c>
      <c r="C112" s="1">
        <v>1657</v>
      </c>
      <c r="D112" s="2">
        <v>78</v>
      </c>
      <c r="E112" s="3">
        <v>9</v>
      </c>
      <c r="F112" s="1">
        <v>22</v>
      </c>
      <c r="G112" s="1">
        <v>57</v>
      </c>
      <c r="H112" s="1">
        <v>7</v>
      </c>
      <c r="I112" s="4">
        <v>2</v>
      </c>
      <c r="J112" s="4" t="s">
        <v>200</v>
      </c>
      <c r="K112" s="5">
        <v>3</v>
      </c>
      <c r="L112" s="4" t="s">
        <v>201</v>
      </c>
      <c r="M112" s="6">
        <f t="shared" si="7"/>
        <v>12</v>
      </c>
      <c r="N112" s="7">
        <f t="shared" si="8"/>
        <v>0.109375</v>
      </c>
      <c r="O112" s="7">
        <f t="shared" si="10"/>
        <v>0.166666666666667</v>
      </c>
      <c r="P112" s="7">
        <f t="shared" si="11"/>
        <v>0.428571428571429</v>
      </c>
      <c r="Q112" s="38" t="s">
        <v>23</v>
      </c>
    </row>
    <row r="113" s="1" customFormat="1" spans="1:22">
      <c r="A113" s="20">
        <v>44634</v>
      </c>
      <c r="B113" s="1">
        <v>435</v>
      </c>
      <c r="C113" s="21">
        <v>4275</v>
      </c>
      <c r="D113" s="2">
        <v>50</v>
      </c>
      <c r="E113" s="3">
        <v>34</v>
      </c>
      <c r="F113" s="1">
        <v>38</v>
      </c>
      <c r="G113" s="1">
        <v>30</v>
      </c>
      <c r="H113" s="1">
        <v>9</v>
      </c>
      <c r="I113" s="4">
        <v>1</v>
      </c>
      <c r="J113" s="4" t="s">
        <v>202</v>
      </c>
      <c r="K113" s="5">
        <v>1</v>
      </c>
      <c r="L113" s="4" t="s">
        <v>203</v>
      </c>
      <c r="M113" s="6">
        <f t="shared" si="7"/>
        <v>11</v>
      </c>
      <c r="N113" s="7">
        <f t="shared" si="8"/>
        <v>0.157894736842105</v>
      </c>
      <c r="O113" s="7">
        <f t="shared" si="10"/>
        <v>0.142857142857143</v>
      </c>
      <c r="P113" s="7">
        <f t="shared" si="11"/>
        <v>0.2</v>
      </c>
      <c r="Q113" s="38" t="s">
        <v>23</v>
      </c>
      <c r="R113" s="48" t="s">
        <v>204</v>
      </c>
      <c r="S113" s="28"/>
      <c r="T113" s="28"/>
      <c r="U113" s="28"/>
      <c r="V113" s="28"/>
    </row>
    <row r="114" s="1" customFormat="1" spans="1:22">
      <c r="A114" s="17">
        <v>44635</v>
      </c>
      <c r="B114" s="1">
        <v>246</v>
      </c>
      <c r="C114" s="21">
        <v>4486</v>
      </c>
      <c r="D114" s="2">
        <v>32</v>
      </c>
      <c r="E114" s="3">
        <v>138</v>
      </c>
      <c r="F114" s="1">
        <v>45</v>
      </c>
      <c r="G114" s="1">
        <v>20</v>
      </c>
      <c r="H114" s="1">
        <v>6</v>
      </c>
      <c r="I114" s="4">
        <v>2</v>
      </c>
      <c r="J114" s="4" t="s">
        <v>205</v>
      </c>
      <c r="K114" s="5">
        <v>1</v>
      </c>
      <c r="L114" s="4" t="s">
        <v>206</v>
      </c>
      <c r="M114" s="6">
        <f t="shared" si="7"/>
        <v>9</v>
      </c>
      <c r="N114" s="7">
        <f t="shared" si="8"/>
        <v>0.2</v>
      </c>
      <c r="O114" s="7">
        <f t="shared" si="10"/>
        <v>0.222222222222222</v>
      </c>
      <c r="P114" s="7">
        <f t="shared" si="11"/>
        <v>0.5</v>
      </c>
      <c r="Q114" s="37" t="s">
        <v>21</v>
      </c>
      <c r="R114" s="28"/>
      <c r="S114" s="28"/>
      <c r="T114" s="28"/>
      <c r="U114" s="28"/>
      <c r="V114" s="28"/>
    </row>
    <row r="115" s="1" customFormat="1" spans="1:17">
      <c r="A115" s="17">
        <v>44636</v>
      </c>
      <c r="B115" s="18">
        <v>4319</v>
      </c>
      <c r="C115" s="1">
        <v>388</v>
      </c>
      <c r="D115" s="2">
        <v>135</v>
      </c>
      <c r="E115" s="3">
        <v>7</v>
      </c>
      <c r="F115" s="1">
        <v>16</v>
      </c>
      <c r="G115" s="1">
        <v>111</v>
      </c>
      <c r="H115" s="1">
        <v>10</v>
      </c>
      <c r="I115" s="4">
        <v>4</v>
      </c>
      <c r="J115" s="4" t="s">
        <v>207</v>
      </c>
      <c r="K115" s="5">
        <v>3</v>
      </c>
      <c r="L115" s="4" t="s">
        <v>208</v>
      </c>
      <c r="M115" s="6">
        <f t="shared" si="7"/>
        <v>17</v>
      </c>
      <c r="N115" s="7">
        <f t="shared" si="8"/>
        <v>0.5</v>
      </c>
      <c r="O115" s="7">
        <f t="shared" si="10"/>
        <v>0.666666666666667</v>
      </c>
      <c r="P115" s="7">
        <f t="shared" si="11"/>
        <v>1</v>
      </c>
      <c r="Q115" s="37" t="s">
        <v>21</v>
      </c>
    </row>
    <row r="116" s="1" customFormat="1" spans="1:17">
      <c r="A116" s="17">
        <v>44637</v>
      </c>
      <c r="B116" s="18">
        <v>3776</v>
      </c>
      <c r="C116" s="1">
        <v>843</v>
      </c>
      <c r="D116" s="2">
        <v>119</v>
      </c>
      <c r="E116" s="3">
        <v>3</v>
      </c>
      <c r="F116" s="1">
        <v>45</v>
      </c>
      <c r="G116" s="1">
        <v>82</v>
      </c>
      <c r="H116" s="1">
        <v>13</v>
      </c>
      <c r="I116" s="4">
        <v>4</v>
      </c>
      <c r="J116" s="4" t="s">
        <v>209</v>
      </c>
      <c r="K116" s="5">
        <v>5</v>
      </c>
      <c r="L116" s="4" t="s">
        <v>210</v>
      </c>
      <c r="M116" s="6">
        <f t="shared" si="7"/>
        <v>22</v>
      </c>
      <c r="N116" s="7">
        <f t="shared" si="8"/>
        <v>0.117117117117117</v>
      </c>
      <c r="O116" s="7">
        <f t="shared" si="10"/>
        <v>0.4</v>
      </c>
      <c r="P116" s="7">
        <f t="shared" si="11"/>
        <v>0.714285714285714</v>
      </c>
      <c r="Q116" s="37" t="s">
        <v>21</v>
      </c>
    </row>
    <row r="117" s="1" customFormat="1" spans="1:17">
      <c r="A117" s="17">
        <v>44638</v>
      </c>
      <c r="B117" s="18">
        <v>3516</v>
      </c>
      <c r="C117" s="1">
        <v>1153</v>
      </c>
      <c r="D117" s="2">
        <v>121</v>
      </c>
      <c r="E117" s="3">
        <v>2</v>
      </c>
      <c r="F117" s="1">
        <v>15</v>
      </c>
      <c r="G117" s="1">
        <v>82</v>
      </c>
      <c r="H117" s="1">
        <v>9</v>
      </c>
      <c r="I117" s="4">
        <v>7</v>
      </c>
      <c r="J117" s="4" t="s">
        <v>211</v>
      </c>
      <c r="K117" s="5">
        <v>5</v>
      </c>
      <c r="L117" s="4" t="s">
        <v>212</v>
      </c>
      <c r="M117" s="6">
        <f t="shared" si="7"/>
        <v>21</v>
      </c>
      <c r="N117" s="7">
        <f t="shared" si="8"/>
        <v>0.109756097560976</v>
      </c>
      <c r="O117" s="7">
        <f t="shared" si="10"/>
        <v>0.538461538461538</v>
      </c>
      <c r="P117" s="7">
        <f t="shared" si="11"/>
        <v>0.555555555555556</v>
      </c>
      <c r="Q117" s="37" t="s">
        <v>21</v>
      </c>
    </row>
    <row r="118" s="1" customFormat="1" ht="27" spans="1:17">
      <c r="A118" s="20">
        <v>44641</v>
      </c>
      <c r="B118" s="18">
        <v>3215</v>
      </c>
      <c r="C118" s="1">
        <v>1373</v>
      </c>
      <c r="D118" s="2">
        <v>134</v>
      </c>
      <c r="E118" s="3">
        <v>2</v>
      </c>
      <c r="F118" s="1">
        <v>17</v>
      </c>
      <c r="G118" s="1">
        <v>78</v>
      </c>
      <c r="H118" s="1">
        <v>21</v>
      </c>
      <c r="I118" s="4">
        <v>7</v>
      </c>
      <c r="J118" s="4" t="s">
        <v>213</v>
      </c>
      <c r="K118" s="5">
        <v>8</v>
      </c>
      <c r="L118" s="4" t="s">
        <v>214</v>
      </c>
      <c r="M118" s="6">
        <f t="shared" si="7"/>
        <v>36</v>
      </c>
      <c r="N118" s="7">
        <f t="shared" si="8"/>
        <v>0.25609756097561</v>
      </c>
      <c r="O118" s="7">
        <f t="shared" si="10"/>
        <v>0.777777777777778</v>
      </c>
      <c r="P118" s="7">
        <f t="shared" si="11"/>
        <v>0.666666666666667</v>
      </c>
      <c r="Q118" s="37" t="s">
        <v>21</v>
      </c>
    </row>
    <row r="119" s="1" customFormat="1" ht="27" spans="1:17">
      <c r="A119" s="17">
        <v>44642</v>
      </c>
      <c r="B119" s="1">
        <v>1972</v>
      </c>
      <c r="C119" s="21">
        <v>2620</v>
      </c>
      <c r="D119" s="2">
        <v>96</v>
      </c>
      <c r="E119" s="3">
        <v>13</v>
      </c>
      <c r="F119" s="1">
        <v>23</v>
      </c>
      <c r="G119" s="1">
        <v>49</v>
      </c>
      <c r="H119" s="1">
        <v>14</v>
      </c>
      <c r="I119" s="4">
        <v>7</v>
      </c>
      <c r="J119" s="4" t="s">
        <v>215</v>
      </c>
      <c r="K119" s="5">
        <v>8</v>
      </c>
      <c r="L119" s="4" t="s">
        <v>216</v>
      </c>
      <c r="M119" s="6">
        <f t="shared" si="7"/>
        <v>29</v>
      </c>
      <c r="N119" s="7">
        <f t="shared" si="8"/>
        <v>0.179487179487179</v>
      </c>
      <c r="O119" s="7">
        <f t="shared" si="10"/>
        <v>0.333333333333333</v>
      </c>
      <c r="P119" s="7">
        <f t="shared" si="11"/>
        <v>0.533333333333333</v>
      </c>
      <c r="Q119" s="38" t="s">
        <v>23</v>
      </c>
    </row>
    <row r="120" s="1" customFormat="1" ht="27" spans="1:17">
      <c r="A120" s="17">
        <v>44643</v>
      </c>
      <c r="B120" s="1">
        <v>2316</v>
      </c>
      <c r="C120" s="1">
        <v>2259</v>
      </c>
      <c r="D120" s="2">
        <v>83</v>
      </c>
      <c r="E120" s="3">
        <v>14</v>
      </c>
      <c r="F120" s="1">
        <v>25</v>
      </c>
      <c r="G120" s="1">
        <v>50</v>
      </c>
      <c r="H120" s="1">
        <v>8</v>
      </c>
      <c r="I120" s="4">
        <v>2</v>
      </c>
      <c r="J120" s="4" t="s">
        <v>217</v>
      </c>
      <c r="K120" s="5">
        <v>8</v>
      </c>
      <c r="L120" s="4" t="s">
        <v>218</v>
      </c>
      <c r="M120" s="6">
        <f t="shared" si="7"/>
        <v>18</v>
      </c>
      <c r="N120" s="7">
        <f t="shared" si="8"/>
        <v>0.163265306122449</v>
      </c>
      <c r="O120" s="7">
        <f t="shared" si="10"/>
        <v>0.142857142857143</v>
      </c>
      <c r="P120" s="7">
        <f t="shared" si="11"/>
        <v>0.533333333333333</v>
      </c>
      <c r="Q120" s="38" t="s">
        <v>23</v>
      </c>
    </row>
    <row r="121" s="1" customFormat="1" spans="1:17">
      <c r="A121" s="17">
        <v>44644</v>
      </c>
      <c r="B121" s="1">
        <v>953</v>
      </c>
      <c r="C121" s="21">
        <v>3731</v>
      </c>
      <c r="D121" s="2">
        <v>74</v>
      </c>
      <c r="E121" s="3">
        <v>17</v>
      </c>
      <c r="F121" s="1">
        <v>28</v>
      </c>
      <c r="G121" s="1">
        <v>45</v>
      </c>
      <c r="H121" s="1">
        <v>5</v>
      </c>
      <c r="I121" s="4">
        <v>5</v>
      </c>
      <c r="J121" s="4" t="s">
        <v>219</v>
      </c>
      <c r="K121" s="5">
        <v>6</v>
      </c>
      <c r="L121" s="4" t="s">
        <v>220</v>
      </c>
      <c r="M121" s="6">
        <f t="shared" si="7"/>
        <v>16</v>
      </c>
      <c r="N121" s="7">
        <f t="shared" si="8"/>
        <v>0.1</v>
      </c>
      <c r="O121" s="7">
        <f t="shared" si="10"/>
        <v>0.625</v>
      </c>
      <c r="P121" s="7">
        <f t="shared" si="11"/>
        <v>0.6</v>
      </c>
      <c r="Q121" s="37" t="s">
        <v>21</v>
      </c>
    </row>
    <row r="122" s="1" customFormat="1" spans="1:17">
      <c r="A122" s="17">
        <v>44645</v>
      </c>
      <c r="B122" s="1">
        <v>1755</v>
      </c>
      <c r="C122" s="21">
        <v>2823</v>
      </c>
      <c r="D122" s="2">
        <v>83</v>
      </c>
      <c r="E122" s="3">
        <v>24</v>
      </c>
      <c r="F122" s="1">
        <v>32</v>
      </c>
      <c r="G122" s="1">
        <v>57</v>
      </c>
      <c r="H122" s="1">
        <v>8</v>
      </c>
      <c r="I122" s="4">
        <v>2</v>
      </c>
      <c r="J122" s="4" t="s">
        <v>221</v>
      </c>
      <c r="K122" s="5">
        <v>5</v>
      </c>
      <c r="L122" s="4" t="s">
        <v>222</v>
      </c>
      <c r="M122" s="6">
        <f t="shared" si="7"/>
        <v>15</v>
      </c>
      <c r="N122" s="7">
        <f t="shared" si="8"/>
        <v>0.177777777777778</v>
      </c>
      <c r="O122" s="7">
        <f t="shared" si="10"/>
        <v>0.4</v>
      </c>
      <c r="P122" s="7">
        <f t="shared" si="11"/>
        <v>0.454545454545455</v>
      </c>
      <c r="Q122" s="38" t="s">
        <v>23</v>
      </c>
    </row>
    <row r="123" s="1" customFormat="1" spans="1:17">
      <c r="A123" s="20">
        <v>44648</v>
      </c>
      <c r="B123" s="1">
        <v>1799</v>
      </c>
      <c r="C123" s="21">
        <v>2813</v>
      </c>
      <c r="D123" s="2">
        <v>69</v>
      </c>
      <c r="E123" s="3">
        <v>35</v>
      </c>
      <c r="F123" s="1">
        <v>31</v>
      </c>
      <c r="G123" s="1">
        <v>44</v>
      </c>
      <c r="H123" s="1">
        <v>10</v>
      </c>
      <c r="I123" s="4">
        <v>3</v>
      </c>
      <c r="J123" s="4" t="s">
        <v>223</v>
      </c>
      <c r="K123" s="5">
        <v>3</v>
      </c>
      <c r="L123" s="4" t="s">
        <v>224</v>
      </c>
      <c r="M123" s="6">
        <f t="shared" si="7"/>
        <v>16</v>
      </c>
      <c r="N123" s="7">
        <f t="shared" si="8"/>
        <v>0.175438596491228</v>
      </c>
      <c r="O123" s="7">
        <f t="shared" si="10"/>
        <v>0.375</v>
      </c>
      <c r="P123" s="7">
        <f t="shared" si="11"/>
        <v>0.428571428571429</v>
      </c>
      <c r="Q123" s="38" t="s">
        <v>23</v>
      </c>
    </row>
    <row r="124" s="1" customFormat="1" spans="1:17">
      <c r="A124" s="17">
        <v>44649</v>
      </c>
      <c r="B124" s="1">
        <v>1177</v>
      </c>
      <c r="C124" s="21">
        <v>3490</v>
      </c>
      <c r="D124" s="2">
        <v>69</v>
      </c>
      <c r="E124" s="3">
        <v>25</v>
      </c>
      <c r="F124" s="1">
        <v>28</v>
      </c>
      <c r="G124" s="1">
        <v>41</v>
      </c>
      <c r="H124" s="1">
        <v>7</v>
      </c>
      <c r="I124" s="4">
        <v>3</v>
      </c>
      <c r="J124" s="4" t="s">
        <v>225</v>
      </c>
      <c r="K124" s="5">
        <v>4</v>
      </c>
      <c r="L124" s="4" t="s">
        <v>226</v>
      </c>
      <c r="M124" s="6">
        <f t="shared" si="7"/>
        <v>14</v>
      </c>
      <c r="N124" s="7">
        <f t="shared" si="8"/>
        <v>0.159090909090909</v>
      </c>
      <c r="O124" s="7">
        <f t="shared" si="10"/>
        <v>0.3</v>
      </c>
      <c r="P124" s="7">
        <f t="shared" si="11"/>
        <v>0.666666666666667</v>
      </c>
      <c r="Q124" s="37" t="s">
        <v>21</v>
      </c>
    </row>
    <row r="125" s="1" customFormat="1" spans="1:17">
      <c r="A125" s="17">
        <v>44650</v>
      </c>
      <c r="B125" s="18">
        <v>3857</v>
      </c>
      <c r="C125" s="1">
        <v>802</v>
      </c>
      <c r="D125" s="2">
        <v>90</v>
      </c>
      <c r="E125" s="3">
        <v>7</v>
      </c>
      <c r="F125" s="1">
        <v>26</v>
      </c>
      <c r="G125" s="1">
        <v>65</v>
      </c>
      <c r="H125" s="1">
        <v>7</v>
      </c>
      <c r="I125" s="4">
        <v>4</v>
      </c>
      <c r="J125" s="4" t="s">
        <v>227</v>
      </c>
      <c r="K125" s="5">
        <v>3</v>
      </c>
      <c r="L125" s="4" t="s">
        <v>228</v>
      </c>
      <c r="M125" s="6">
        <f t="shared" si="7"/>
        <v>14</v>
      </c>
      <c r="N125" s="7">
        <f t="shared" si="8"/>
        <v>0.170731707317073</v>
      </c>
      <c r="O125" s="7">
        <f t="shared" si="10"/>
        <v>0.571428571428571</v>
      </c>
      <c r="P125" s="7">
        <f t="shared" si="11"/>
        <v>0.428571428571429</v>
      </c>
      <c r="Q125" s="38" t="s">
        <v>23</v>
      </c>
    </row>
    <row r="126" s="1" customFormat="1" spans="1:17">
      <c r="A126" s="17">
        <v>44651</v>
      </c>
      <c r="B126" s="1">
        <v>2090</v>
      </c>
      <c r="C126" s="21">
        <v>2536</v>
      </c>
      <c r="D126" s="2">
        <v>57</v>
      </c>
      <c r="E126" s="3">
        <v>21</v>
      </c>
      <c r="F126" s="1">
        <v>51</v>
      </c>
      <c r="G126" s="1">
        <v>38</v>
      </c>
      <c r="H126" s="1">
        <v>8</v>
      </c>
      <c r="I126" s="4">
        <v>4</v>
      </c>
      <c r="J126" s="4" t="s">
        <v>229</v>
      </c>
      <c r="K126" s="5">
        <v>3</v>
      </c>
      <c r="L126" s="4" t="s">
        <v>230</v>
      </c>
      <c r="M126" s="6">
        <f t="shared" si="7"/>
        <v>15</v>
      </c>
      <c r="N126" s="7">
        <f t="shared" si="8"/>
        <v>0.123076923076923</v>
      </c>
      <c r="O126" s="7">
        <f t="shared" si="10"/>
        <v>0.571428571428571</v>
      </c>
      <c r="P126" s="7">
        <f t="shared" si="11"/>
        <v>0.428571428571429</v>
      </c>
      <c r="Q126" s="37" t="s">
        <v>21</v>
      </c>
    </row>
    <row r="127" s="1" customFormat="1" spans="1:17">
      <c r="A127" s="17">
        <v>44652</v>
      </c>
      <c r="B127" s="1">
        <v>2036</v>
      </c>
      <c r="C127" s="21">
        <v>2598</v>
      </c>
      <c r="D127" s="2">
        <v>90</v>
      </c>
      <c r="E127" s="3">
        <v>19</v>
      </c>
      <c r="F127" s="1">
        <v>15</v>
      </c>
      <c r="G127" s="1">
        <v>55</v>
      </c>
      <c r="H127" s="1">
        <v>11</v>
      </c>
      <c r="I127" s="4">
        <v>5</v>
      </c>
      <c r="J127" s="4" t="s">
        <v>231</v>
      </c>
      <c r="K127" s="5">
        <v>2</v>
      </c>
      <c r="L127" s="4" t="s">
        <v>232</v>
      </c>
      <c r="M127" s="6">
        <f t="shared" si="7"/>
        <v>18</v>
      </c>
      <c r="N127" s="7">
        <f t="shared" si="8"/>
        <v>0.289473684210526</v>
      </c>
      <c r="O127" s="7">
        <f t="shared" si="10"/>
        <v>0.625</v>
      </c>
      <c r="P127" s="7">
        <f t="shared" si="11"/>
        <v>0.285714285714286</v>
      </c>
      <c r="Q127" s="38" t="s">
        <v>23</v>
      </c>
    </row>
    <row r="128" s="1" customFormat="1" ht="27" spans="1:17">
      <c r="A128" s="20">
        <v>44657</v>
      </c>
      <c r="B128" s="18">
        <v>3264</v>
      </c>
      <c r="C128" s="1">
        <v>1412</v>
      </c>
      <c r="D128" s="2">
        <v>101</v>
      </c>
      <c r="E128" s="3">
        <v>18</v>
      </c>
      <c r="F128" s="1">
        <v>24</v>
      </c>
      <c r="G128" s="1">
        <v>59</v>
      </c>
      <c r="H128" s="1">
        <v>12</v>
      </c>
      <c r="I128" s="4">
        <v>5</v>
      </c>
      <c r="J128" s="4" t="s">
        <v>233</v>
      </c>
      <c r="K128" s="5">
        <v>6</v>
      </c>
      <c r="L128" s="4" t="s">
        <v>234</v>
      </c>
      <c r="M128" s="6">
        <f t="shared" si="7"/>
        <v>23</v>
      </c>
      <c r="N128" s="7">
        <f t="shared" si="8"/>
        <v>0.218181818181818</v>
      </c>
      <c r="O128" s="7">
        <f t="shared" si="10"/>
        <v>0.454545454545455</v>
      </c>
      <c r="P128" s="7">
        <f t="shared" si="11"/>
        <v>0.857142857142857</v>
      </c>
      <c r="Q128" s="37" t="s">
        <v>21</v>
      </c>
    </row>
    <row r="129" s="1" customFormat="1" spans="1:17">
      <c r="A129" s="17">
        <v>44658</v>
      </c>
      <c r="B129" s="1">
        <v>589</v>
      </c>
      <c r="C129" s="21">
        <v>4127</v>
      </c>
      <c r="D129" s="2">
        <v>51</v>
      </c>
      <c r="E129" s="3">
        <v>32</v>
      </c>
      <c r="F129" s="1">
        <v>42</v>
      </c>
      <c r="G129" s="1">
        <v>20</v>
      </c>
      <c r="H129" s="1">
        <v>6</v>
      </c>
      <c r="I129" s="4">
        <v>2</v>
      </c>
      <c r="J129" s="4" t="s">
        <v>235</v>
      </c>
      <c r="K129" s="5">
        <v>4</v>
      </c>
      <c r="L129" s="4" t="s">
        <v>236</v>
      </c>
      <c r="M129" s="6">
        <f t="shared" si="7"/>
        <v>12</v>
      </c>
      <c r="N129" s="7">
        <f t="shared" si="8"/>
        <v>0.101694915254237</v>
      </c>
      <c r="O129" s="7">
        <f t="shared" si="10"/>
        <v>0.166666666666667</v>
      </c>
      <c r="P129" s="7">
        <f t="shared" si="11"/>
        <v>0.363636363636364</v>
      </c>
      <c r="Q129" s="38" t="s">
        <v>23</v>
      </c>
    </row>
    <row r="130" s="1" customFormat="1" spans="1:17">
      <c r="A130" s="17">
        <v>44659</v>
      </c>
      <c r="B130" s="1">
        <v>1575</v>
      </c>
      <c r="C130" s="21">
        <v>3090</v>
      </c>
      <c r="D130" s="2">
        <v>78</v>
      </c>
      <c r="E130" s="3">
        <v>20</v>
      </c>
      <c r="F130" s="1">
        <v>27</v>
      </c>
      <c r="G130" s="1">
        <v>48</v>
      </c>
      <c r="H130" s="1">
        <v>8</v>
      </c>
      <c r="I130" s="4">
        <v>4</v>
      </c>
      <c r="J130" s="4" t="s">
        <v>237</v>
      </c>
      <c r="K130" s="5">
        <v>4</v>
      </c>
      <c r="L130" s="4" t="s">
        <v>238</v>
      </c>
      <c r="M130" s="6">
        <f t="shared" si="7"/>
        <v>16</v>
      </c>
      <c r="N130" s="7">
        <f t="shared" si="8"/>
        <v>0.4</v>
      </c>
      <c r="O130" s="7">
        <f t="shared" si="10"/>
        <v>0.666666666666667</v>
      </c>
      <c r="P130" s="7">
        <f t="shared" si="11"/>
        <v>0.666666666666667</v>
      </c>
      <c r="Q130" s="37" t="s">
        <v>21</v>
      </c>
    </row>
    <row r="131" s="1" customFormat="1" spans="1:17">
      <c r="A131" s="20">
        <v>44662</v>
      </c>
      <c r="B131" s="1">
        <v>560</v>
      </c>
      <c r="C131" s="21">
        <v>4172</v>
      </c>
      <c r="D131" s="2">
        <v>61</v>
      </c>
      <c r="E131" s="3">
        <v>63</v>
      </c>
      <c r="F131" s="1">
        <v>44</v>
      </c>
      <c r="G131" s="1">
        <v>38</v>
      </c>
      <c r="H131" s="1">
        <v>10</v>
      </c>
      <c r="I131" s="4">
        <v>2</v>
      </c>
      <c r="J131" s="4" t="s">
        <v>239</v>
      </c>
      <c r="K131" s="5">
        <v>3</v>
      </c>
      <c r="L131" s="4" t="s">
        <v>240</v>
      </c>
      <c r="M131" s="6">
        <f t="shared" si="7"/>
        <v>15</v>
      </c>
      <c r="N131" s="7">
        <f t="shared" si="8"/>
        <v>0.208333333333333</v>
      </c>
      <c r="O131" s="7">
        <f t="shared" si="10"/>
        <v>0.25</v>
      </c>
      <c r="P131" s="7">
        <f t="shared" si="11"/>
        <v>0.375</v>
      </c>
      <c r="Q131" s="38" t="s">
        <v>23</v>
      </c>
    </row>
    <row r="132" s="1" customFormat="1" spans="1:17">
      <c r="A132" s="17">
        <v>44663</v>
      </c>
      <c r="B132" s="18">
        <v>3820</v>
      </c>
      <c r="C132" s="1">
        <v>875</v>
      </c>
      <c r="D132" s="2">
        <v>108</v>
      </c>
      <c r="E132" s="3">
        <v>23</v>
      </c>
      <c r="F132" s="1">
        <v>25</v>
      </c>
      <c r="G132" s="1">
        <v>76</v>
      </c>
      <c r="H132" s="1">
        <v>14</v>
      </c>
      <c r="I132" s="4">
        <v>4</v>
      </c>
      <c r="J132" s="4" t="s">
        <v>241</v>
      </c>
      <c r="K132" s="5">
        <v>2</v>
      </c>
      <c r="L132" s="4" t="s">
        <v>242</v>
      </c>
      <c r="M132" s="6">
        <f t="shared" si="7"/>
        <v>20</v>
      </c>
      <c r="N132" s="7">
        <f t="shared" si="8"/>
        <v>0.368421052631579</v>
      </c>
      <c r="O132" s="7">
        <f t="shared" si="10"/>
        <v>0.4</v>
      </c>
      <c r="P132" s="7">
        <f t="shared" si="11"/>
        <v>0.4</v>
      </c>
      <c r="Q132" s="37" t="s">
        <v>21</v>
      </c>
    </row>
    <row r="133" s="1" customFormat="1" spans="1:17">
      <c r="A133" s="17">
        <v>44664</v>
      </c>
      <c r="B133" s="1">
        <v>849</v>
      </c>
      <c r="C133" s="21">
        <v>3858</v>
      </c>
      <c r="D133" s="2">
        <v>59</v>
      </c>
      <c r="E133" s="3">
        <v>61</v>
      </c>
      <c r="F133" s="1">
        <v>43</v>
      </c>
      <c r="G133" s="1">
        <v>35</v>
      </c>
      <c r="H133" s="1">
        <v>8</v>
      </c>
      <c r="I133" s="4">
        <v>7</v>
      </c>
      <c r="J133" s="4" t="s">
        <v>243</v>
      </c>
      <c r="K133" s="5">
        <v>3</v>
      </c>
      <c r="L133" s="4" t="s">
        <v>244</v>
      </c>
      <c r="M133" s="6">
        <f t="shared" si="7"/>
        <v>18</v>
      </c>
      <c r="N133" s="7">
        <f t="shared" si="8"/>
        <v>0.105263157894737</v>
      </c>
      <c r="O133" s="7">
        <f t="shared" si="10"/>
        <v>0.5</v>
      </c>
      <c r="P133" s="7">
        <f t="shared" si="11"/>
        <v>0.5</v>
      </c>
      <c r="Q133" s="37" t="s">
        <v>21</v>
      </c>
    </row>
    <row r="134" s="1" customFormat="1" spans="1:17">
      <c r="A134" s="17">
        <v>44665</v>
      </c>
      <c r="B134" s="18">
        <v>3192</v>
      </c>
      <c r="C134" s="1">
        <v>1392</v>
      </c>
      <c r="D134" s="2">
        <v>85</v>
      </c>
      <c r="E134" s="3">
        <v>17</v>
      </c>
      <c r="F134" s="1">
        <v>23</v>
      </c>
      <c r="G134" s="1">
        <v>61</v>
      </c>
      <c r="H134" s="1">
        <v>8</v>
      </c>
      <c r="I134" s="4">
        <v>3</v>
      </c>
      <c r="J134" s="4" t="s">
        <v>245</v>
      </c>
      <c r="K134" s="5">
        <v>5</v>
      </c>
      <c r="L134" s="4" t="s">
        <v>246</v>
      </c>
      <c r="M134" s="6">
        <f t="shared" si="7"/>
        <v>16</v>
      </c>
      <c r="N134" s="7">
        <f t="shared" si="8"/>
        <v>0.228571428571429</v>
      </c>
      <c r="O134" s="7">
        <f t="shared" si="10"/>
        <v>0.375</v>
      </c>
      <c r="P134" s="7">
        <f t="shared" si="11"/>
        <v>0.5</v>
      </c>
      <c r="Q134" s="38" t="s">
        <v>23</v>
      </c>
    </row>
    <row r="135" s="1" customFormat="1" spans="1:17">
      <c r="A135" s="17">
        <v>44666</v>
      </c>
      <c r="B135" s="1">
        <v>1018</v>
      </c>
      <c r="C135" s="21">
        <v>3689</v>
      </c>
      <c r="D135" s="2">
        <v>46</v>
      </c>
      <c r="E135" s="3">
        <v>60</v>
      </c>
      <c r="F135" s="1">
        <v>42</v>
      </c>
      <c r="G135" s="1">
        <v>28</v>
      </c>
      <c r="H135" s="1">
        <v>7</v>
      </c>
      <c r="I135" s="4">
        <v>2</v>
      </c>
      <c r="J135" s="4" t="s">
        <v>247</v>
      </c>
      <c r="K135" s="5">
        <v>2</v>
      </c>
      <c r="L135" s="4" t="s">
        <v>248</v>
      </c>
      <c r="M135" s="6">
        <f t="shared" si="7"/>
        <v>11</v>
      </c>
      <c r="N135" s="7">
        <f t="shared" si="8"/>
        <v>0.114754098360656</v>
      </c>
      <c r="O135" s="7">
        <f t="shared" si="10"/>
        <v>0.25</v>
      </c>
      <c r="P135" s="7">
        <f t="shared" si="11"/>
        <v>0.25</v>
      </c>
      <c r="Q135" s="38" t="s">
        <v>23</v>
      </c>
    </row>
    <row r="136" s="1" customFormat="1" spans="1:17">
      <c r="A136" s="20">
        <v>44669</v>
      </c>
      <c r="B136" s="18">
        <v>2858</v>
      </c>
      <c r="C136" s="1">
        <v>1779</v>
      </c>
      <c r="D136" s="2">
        <v>91</v>
      </c>
      <c r="E136" s="3">
        <v>57</v>
      </c>
      <c r="F136" s="1">
        <v>19</v>
      </c>
      <c r="G136" s="1">
        <v>65</v>
      </c>
      <c r="H136" s="1">
        <v>9</v>
      </c>
      <c r="I136" s="4">
        <v>2</v>
      </c>
      <c r="J136" s="4" t="s">
        <v>249</v>
      </c>
      <c r="K136" s="5">
        <v>1</v>
      </c>
      <c r="L136" s="4" t="s">
        <v>250</v>
      </c>
      <c r="M136" s="6">
        <f t="shared" ref="M136:M199" si="12">H136+I136+K136</f>
        <v>12</v>
      </c>
      <c r="N136" s="7">
        <f t="shared" si="8"/>
        <v>0.321428571428571</v>
      </c>
      <c r="O136" s="7">
        <f t="shared" si="10"/>
        <v>0.285714285714286</v>
      </c>
      <c r="P136" s="7">
        <f t="shared" si="11"/>
        <v>0.25</v>
      </c>
      <c r="Q136" s="38" t="s">
        <v>23</v>
      </c>
    </row>
    <row r="137" s="1" customFormat="1" spans="1:17">
      <c r="A137" s="17">
        <v>44670</v>
      </c>
      <c r="B137" s="18">
        <v>2722</v>
      </c>
      <c r="C137" s="1">
        <v>1913</v>
      </c>
      <c r="D137" s="2">
        <v>72</v>
      </c>
      <c r="E137" s="3">
        <v>39</v>
      </c>
      <c r="F137" s="1">
        <v>27</v>
      </c>
      <c r="G137" s="1">
        <v>42</v>
      </c>
      <c r="H137" s="1">
        <v>8</v>
      </c>
      <c r="I137" s="4">
        <v>4</v>
      </c>
      <c r="J137" s="4" t="s">
        <v>251</v>
      </c>
      <c r="K137" s="5">
        <v>2</v>
      </c>
      <c r="L137" s="4" t="s">
        <v>252</v>
      </c>
      <c r="M137" s="6">
        <f t="shared" si="12"/>
        <v>14</v>
      </c>
      <c r="N137" s="7">
        <f t="shared" ref="N137:N200" si="13">H137/G136</f>
        <v>0.123076923076923</v>
      </c>
      <c r="O137" s="7">
        <f t="shared" si="10"/>
        <v>0.444444444444444</v>
      </c>
      <c r="P137" s="7">
        <f t="shared" si="11"/>
        <v>0.666666666666667</v>
      </c>
      <c r="Q137" s="37" t="s">
        <v>21</v>
      </c>
    </row>
    <row r="138" s="1" customFormat="1" spans="1:17">
      <c r="A138" s="17">
        <v>44671</v>
      </c>
      <c r="B138" s="1">
        <v>1317</v>
      </c>
      <c r="C138" s="21">
        <v>3377</v>
      </c>
      <c r="D138" s="2">
        <v>66</v>
      </c>
      <c r="E138" s="3">
        <v>38</v>
      </c>
      <c r="F138" s="1">
        <v>24</v>
      </c>
      <c r="G138" s="1">
        <v>36</v>
      </c>
      <c r="H138" s="1">
        <v>10</v>
      </c>
      <c r="I138" s="4">
        <v>3</v>
      </c>
      <c r="J138" s="4" t="s">
        <v>253</v>
      </c>
      <c r="K138" s="5">
        <v>3</v>
      </c>
      <c r="L138" s="4" t="s">
        <v>254</v>
      </c>
      <c r="M138" s="6">
        <f t="shared" si="12"/>
        <v>16</v>
      </c>
      <c r="N138" s="7">
        <f t="shared" si="13"/>
        <v>0.238095238095238</v>
      </c>
      <c r="O138" s="7">
        <f t="shared" si="10"/>
        <v>0.375</v>
      </c>
      <c r="P138" s="7">
        <f t="shared" si="11"/>
        <v>0.5</v>
      </c>
      <c r="Q138" s="38" t="s">
        <v>23</v>
      </c>
    </row>
    <row r="139" s="1" customFormat="1" spans="1:17">
      <c r="A139" s="17">
        <v>44672</v>
      </c>
      <c r="B139" s="1">
        <v>336</v>
      </c>
      <c r="C139" s="21">
        <v>4423</v>
      </c>
      <c r="D139" s="2">
        <v>41</v>
      </c>
      <c r="E139" s="3">
        <v>120</v>
      </c>
      <c r="F139" s="1">
        <v>36</v>
      </c>
      <c r="G139" s="1">
        <v>20</v>
      </c>
      <c r="H139" s="1">
        <v>8</v>
      </c>
      <c r="I139" s="4">
        <v>2</v>
      </c>
      <c r="J139" s="4" t="s">
        <v>255</v>
      </c>
      <c r="K139" s="5">
        <v>2</v>
      </c>
      <c r="L139" s="4" t="s">
        <v>256</v>
      </c>
      <c r="M139" s="6">
        <f t="shared" si="12"/>
        <v>12</v>
      </c>
      <c r="N139" s="7">
        <f t="shared" si="13"/>
        <v>0.222222222222222</v>
      </c>
      <c r="O139" s="7">
        <f t="shared" si="10"/>
        <v>0.2</v>
      </c>
      <c r="P139" s="7">
        <f t="shared" si="11"/>
        <v>0.333333333333333</v>
      </c>
      <c r="Q139" s="38" t="s">
        <v>23</v>
      </c>
    </row>
    <row r="140" s="1" customFormat="1" spans="1:17">
      <c r="A140" s="17">
        <v>44673</v>
      </c>
      <c r="B140" s="1">
        <v>1650</v>
      </c>
      <c r="C140" s="21">
        <v>3037</v>
      </c>
      <c r="D140" s="2">
        <v>85</v>
      </c>
      <c r="E140" s="3">
        <v>101</v>
      </c>
      <c r="F140" s="1">
        <v>16</v>
      </c>
      <c r="G140" s="1">
        <v>62</v>
      </c>
      <c r="H140" s="1">
        <v>9</v>
      </c>
      <c r="I140" s="4">
        <v>3</v>
      </c>
      <c r="J140" s="4" t="s">
        <v>257</v>
      </c>
      <c r="K140" s="5">
        <v>1</v>
      </c>
      <c r="L140" s="4" t="s">
        <v>258</v>
      </c>
      <c r="M140" s="6">
        <f t="shared" si="12"/>
        <v>13</v>
      </c>
      <c r="N140" s="7">
        <f t="shared" si="13"/>
        <v>0.45</v>
      </c>
      <c r="O140" s="7">
        <f t="shared" si="10"/>
        <v>0.375</v>
      </c>
      <c r="P140" s="7">
        <f t="shared" si="11"/>
        <v>0.25</v>
      </c>
      <c r="Q140" s="38" t="s">
        <v>23</v>
      </c>
    </row>
    <row r="141" s="1" customFormat="1" spans="1:17">
      <c r="A141" s="20">
        <v>44676</v>
      </c>
      <c r="B141" s="1">
        <v>151</v>
      </c>
      <c r="C141" s="21">
        <v>4623</v>
      </c>
      <c r="D141" s="2">
        <v>31</v>
      </c>
      <c r="E141" s="3">
        <v>680</v>
      </c>
      <c r="F141" s="1">
        <v>43</v>
      </c>
      <c r="G141" s="1">
        <v>17</v>
      </c>
      <c r="H141" s="1">
        <v>6</v>
      </c>
      <c r="I141" s="4">
        <v>1</v>
      </c>
      <c r="J141" s="4" t="s">
        <v>259</v>
      </c>
      <c r="K141" s="5">
        <v>1</v>
      </c>
      <c r="L141" s="4" t="s">
        <v>260</v>
      </c>
      <c r="M141" s="6">
        <f t="shared" si="12"/>
        <v>8</v>
      </c>
      <c r="N141" s="7">
        <f t="shared" si="13"/>
        <v>0.0967741935483871</v>
      </c>
      <c r="O141" s="7">
        <f t="shared" si="10"/>
        <v>0.111111111111111</v>
      </c>
      <c r="P141" s="7">
        <f t="shared" si="11"/>
        <v>0.25</v>
      </c>
      <c r="Q141" s="38" t="s">
        <v>23</v>
      </c>
    </row>
    <row r="142" s="1" customFormat="1" spans="1:17">
      <c r="A142" s="17">
        <v>44677</v>
      </c>
      <c r="B142" s="1">
        <v>754</v>
      </c>
      <c r="C142" s="21">
        <v>3981</v>
      </c>
      <c r="D142" s="2">
        <v>45</v>
      </c>
      <c r="E142" s="3">
        <v>280</v>
      </c>
      <c r="F142" s="1">
        <v>51</v>
      </c>
      <c r="G142" s="1">
        <v>36</v>
      </c>
      <c r="H142" s="1">
        <v>3</v>
      </c>
      <c r="I142" s="4">
        <v>3</v>
      </c>
      <c r="J142" s="4" t="s">
        <v>261</v>
      </c>
      <c r="K142" s="5">
        <v>0</v>
      </c>
      <c r="L142" s="4"/>
      <c r="M142" s="6">
        <f t="shared" si="12"/>
        <v>6</v>
      </c>
      <c r="N142" s="7">
        <f t="shared" si="13"/>
        <v>0.176470588235294</v>
      </c>
      <c r="O142" s="7">
        <f t="shared" si="10"/>
        <v>0.5</v>
      </c>
      <c r="P142" s="7">
        <f t="shared" si="11"/>
        <v>0</v>
      </c>
      <c r="Q142" s="38" t="s">
        <v>23</v>
      </c>
    </row>
    <row r="143" s="1" customFormat="1" spans="1:17">
      <c r="A143" s="17">
        <v>44678</v>
      </c>
      <c r="B143" s="18">
        <v>3992</v>
      </c>
      <c r="C143" s="1">
        <v>729</v>
      </c>
      <c r="D143" s="2">
        <v>140</v>
      </c>
      <c r="E143" s="3">
        <v>75</v>
      </c>
      <c r="F143" s="1">
        <v>26</v>
      </c>
      <c r="G143" s="1">
        <v>125</v>
      </c>
      <c r="H143" s="1">
        <v>10</v>
      </c>
      <c r="I143" s="4">
        <v>1</v>
      </c>
      <c r="J143" s="4" t="s">
        <v>262</v>
      </c>
      <c r="K143" s="5">
        <v>2</v>
      </c>
      <c r="L143" s="4" t="s">
        <v>263</v>
      </c>
      <c r="M143" s="6">
        <f t="shared" si="12"/>
        <v>13</v>
      </c>
      <c r="N143" s="7">
        <f t="shared" si="13"/>
        <v>0.277777777777778</v>
      </c>
      <c r="O143" s="7">
        <f t="shared" si="10"/>
        <v>0.333333333333333</v>
      </c>
      <c r="P143" s="7">
        <f t="shared" si="11"/>
        <v>0.666666666666667</v>
      </c>
      <c r="Q143" s="37" t="s">
        <v>21</v>
      </c>
    </row>
    <row r="144" s="1" customFormat="1" spans="1:17">
      <c r="A144" s="17">
        <v>44679</v>
      </c>
      <c r="B144" s="1">
        <v>1225</v>
      </c>
      <c r="C144" s="21">
        <v>3474</v>
      </c>
      <c r="D144" s="2">
        <v>90</v>
      </c>
      <c r="E144" s="3">
        <v>78</v>
      </c>
      <c r="F144" s="1">
        <v>24</v>
      </c>
      <c r="G144" s="1">
        <v>49</v>
      </c>
      <c r="H144" s="1">
        <v>12</v>
      </c>
      <c r="I144" s="4">
        <v>6</v>
      </c>
      <c r="J144" s="4" t="s">
        <v>264</v>
      </c>
      <c r="K144" s="5">
        <v>1</v>
      </c>
      <c r="L144" s="4" t="s">
        <v>265</v>
      </c>
      <c r="M144" s="6">
        <f t="shared" si="12"/>
        <v>19</v>
      </c>
      <c r="N144" s="7">
        <f t="shared" si="13"/>
        <v>0.096</v>
      </c>
      <c r="O144" s="7">
        <f t="shared" si="10"/>
        <v>0.6</v>
      </c>
      <c r="P144" s="7">
        <f t="shared" si="11"/>
        <v>0.333333333333333</v>
      </c>
      <c r="Q144" s="38" t="s">
        <v>23</v>
      </c>
    </row>
    <row r="145" s="1" customFormat="1" spans="1:17">
      <c r="A145" s="17">
        <v>44680</v>
      </c>
      <c r="B145" s="18">
        <v>4489</v>
      </c>
      <c r="C145" s="1">
        <v>262</v>
      </c>
      <c r="D145" s="2">
        <v>247</v>
      </c>
      <c r="E145" s="3">
        <v>32</v>
      </c>
      <c r="F145" s="1">
        <v>16</v>
      </c>
      <c r="G145" s="1">
        <v>187</v>
      </c>
      <c r="H145" s="1">
        <v>18</v>
      </c>
      <c r="I145" s="4">
        <v>4</v>
      </c>
      <c r="J145" s="4" t="s">
        <v>266</v>
      </c>
      <c r="K145" s="5">
        <v>6</v>
      </c>
      <c r="L145" s="4" t="s">
        <v>267</v>
      </c>
      <c r="M145" s="6">
        <f t="shared" si="12"/>
        <v>28</v>
      </c>
      <c r="N145" s="7">
        <f t="shared" si="13"/>
        <v>0.36734693877551</v>
      </c>
      <c r="O145" s="7">
        <f t="shared" si="10"/>
        <v>0.333333333333333</v>
      </c>
      <c r="P145" s="7">
        <f t="shared" si="11"/>
        <v>0.857142857142857</v>
      </c>
      <c r="Q145" s="37" t="s">
        <v>21</v>
      </c>
    </row>
    <row r="146" s="1" customFormat="1" spans="1:17">
      <c r="A146" s="17">
        <v>44686</v>
      </c>
      <c r="B146" s="18">
        <v>3531</v>
      </c>
      <c r="C146" s="1">
        <v>1066</v>
      </c>
      <c r="D146" s="2">
        <v>179</v>
      </c>
      <c r="E146" s="3">
        <v>29</v>
      </c>
      <c r="F146" s="1">
        <v>20</v>
      </c>
      <c r="G146" s="1">
        <v>115</v>
      </c>
      <c r="H146" s="1">
        <v>31</v>
      </c>
      <c r="I146" s="4">
        <v>4</v>
      </c>
      <c r="J146" s="4" t="s">
        <v>268</v>
      </c>
      <c r="K146" s="5">
        <v>5</v>
      </c>
      <c r="L146" s="4" t="s">
        <v>269</v>
      </c>
      <c r="M146" s="6">
        <f t="shared" si="12"/>
        <v>40</v>
      </c>
      <c r="N146" s="7">
        <f t="shared" si="13"/>
        <v>0.165775401069519</v>
      </c>
      <c r="O146" s="7">
        <f t="shared" si="10"/>
        <v>0.222222222222222</v>
      </c>
      <c r="P146" s="7">
        <f t="shared" si="11"/>
        <v>0.5</v>
      </c>
      <c r="Q146" s="38" t="s">
        <v>23</v>
      </c>
    </row>
    <row r="147" s="1" customFormat="1" ht="27" spans="1:17">
      <c r="A147" s="17">
        <v>44687</v>
      </c>
      <c r="B147" s="1">
        <v>1270</v>
      </c>
      <c r="C147" s="21">
        <v>3398</v>
      </c>
      <c r="D147" s="2">
        <v>104</v>
      </c>
      <c r="E147" s="3">
        <v>58</v>
      </c>
      <c r="F147" s="1">
        <v>20</v>
      </c>
      <c r="G147" s="1">
        <v>53</v>
      </c>
      <c r="H147" s="1">
        <v>14</v>
      </c>
      <c r="I147" s="4">
        <v>10</v>
      </c>
      <c r="J147" s="4" t="s">
        <v>270</v>
      </c>
      <c r="K147" s="5">
        <v>6</v>
      </c>
      <c r="L147" s="4" t="s">
        <v>271</v>
      </c>
      <c r="M147" s="6">
        <f t="shared" si="12"/>
        <v>30</v>
      </c>
      <c r="N147" s="7">
        <f t="shared" si="13"/>
        <v>0.121739130434783</v>
      </c>
      <c r="O147" s="7">
        <f t="shared" si="10"/>
        <v>0.32258064516129</v>
      </c>
      <c r="P147" s="7">
        <f t="shared" si="11"/>
        <v>0.666666666666667</v>
      </c>
      <c r="Q147" s="37" t="s">
        <v>21</v>
      </c>
    </row>
    <row r="148" s="1" customFormat="1" ht="27" spans="1:17">
      <c r="A148" s="17">
        <v>44690</v>
      </c>
      <c r="B148" s="18">
        <v>3715</v>
      </c>
      <c r="C148" s="1">
        <v>942</v>
      </c>
      <c r="D148" s="2">
        <v>164</v>
      </c>
      <c r="E148" s="3">
        <v>30</v>
      </c>
      <c r="F148" s="1">
        <v>25</v>
      </c>
      <c r="G148" s="1">
        <v>115</v>
      </c>
      <c r="H148" s="1">
        <v>8</v>
      </c>
      <c r="I148" s="4">
        <v>5</v>
      </c>
      <c r="J148" s="4" t="s">
        <v>272</v>
      </c>
      <c r="K148" s="5">
        <v>10</v>
      </c>
      <c r="L148" s="4" t="s">
        <v>273</v>
      </c>
      <c r="M148" s="6">
        <f t="shared" si="12"/>
        <v>23</v>
      </c>
      <c r="N148" s="7">
        <f t="shared" si="13"/>
        <v>0.150943396226415</v>
      </c>
      <c r="O148" s="7">
        <f t="shared" si="10"/>
        <v>0.357142857142857</v>
      </c>
      <c r="P148" s="7">
        <f t="shared" si="11"/>
        <v>0.625</v>
      </c>
      <c r="Q148" s="37" t="s">
        <v>21</v>
      </c>
    </row>
    <row r="149" s="1" customFormat="1" ht="27" spans="1:17">
      <c r="A149" s="17">
        <v>44691</v>
      </c>
      <c r="B149" s="18">
        <v>3771</v>
      </c>
      <c r="C149" s="1">
        <v>836</v>
      </c>
      <c r="D149" s="2">
        <v>123</v>
      </c>
      <c r="E149" s="3">
        <v>26</v>
      </c>
      <c r="F149" s="1">
        <v>21</v>
      </c>
      <c r="G149" s="41">
        <v>73</v>
      </c>
      <c r="H149" s="41">
        <v>22</v>
      </c>
      <c r="I149" s="4">
        <v>6</v>
      </c>
      <c r="J149" s="4" t="s">
        <v>274</v>
      </c>
      <c r="K149" s="5">
        <v>10</v>
      </c>
      <c r="L149" s="4" t="s">
        <v>275</v>
      </c>
      <c r="M149" s="6">
        <f t="shared" si="12"/>
        <v>38</v>
      </c>
      <c r="N149" s="7">
        <f t="shared" si="13"/>
        <v>0.191304347826087</v>
      </c>
      <c r="O149" s="7">
        <f t="shared" si="10"/>
        <v>0.75</v>
      </c>
      <c r="P149" s="7">
        <f t="shared" si="11"/>
        <v>0.666666666666667</v>
      </c>
      <c r="Q149" s="37" t="s">
        <v>21</v>
      </c>
    </row>
    <row r="150" s="1" customFormat="1" ht="27" spans="1:17">
      <c r="A150" s="17">
        <v>44692</v>
      </c>
      <c r="B150" s="1">
        <v>2175</v>
      </c>
      <c r="C150" s="1">
        <v>2410</v>
      </c>
      <c r="D150" s="2">
        <v>105</v>
      </c>
      <c r="E150" s="3">
        <v>30</v>
      </c>
      <c r="F150" s="1">
        <v>48</v>
      </c>
      <c r="G150" s="1">
        <v>62</v>
      </c>
      <c r="H150" s="1">
        <v>11</v>
      </c>
      <c r="I150" s="4">
        <v>14</v>
      </c>
      <c r="J150" s="4" t="s">
        <v>276</v>
      </c>
      <c r="K150" s="5">
        <v>7</v>
      </c>
      <c r="L150" s="4" t="s">
        <v>277</v>
      </c>
      <c r="M150" s="6">
        <f t="shared" si="12"/>
        <v>32</v>
      </c>
      <c r="N150" s="7">
        <f t="shared" si="13"/>
        <v>0.150684931506849</v>
      </c>
      <c r="O150" s="7">
        <f t="shared" ref="O150:O213" si="14">I150/H149</f>
        <v>0.636363636363636</v>
      </c>
      <c r="P150" s="7">
        <f t="shared" si="11"/>
        <v>0.4375</v>
      </c>
      <c r="Q150" s="38" t="s">
        <v>23</v>
      </c>
    </row>
    <row r="151" s="1" customFormat="1" ht="27" spans="1:17">
      <c r="A151" s="17">
        <v>44693</v>
      </c>
      <c r="B151" s="18">
        <v>3145</v>
      </c>
      <c r="C151" s="1">
        <v>1441</v>
      </c>
      <c r="D151" s="2">
        <v>87</v>
      </c>
      <c r="E151" s="3">
        <v>29</v>
      </c>
      <c r="F151" s="1">
        <v>31</v>
      </c>
      <c r="G151" s="1">
        <v>62</v>
      </c>
      <c r="H151" s="1">
        <v>5</v>
      </c>
      <c r="I151" s="4">
        <v>4</v>
      </c>
      <c r="J151" s="4" t="s">
        <v>278</v>
      </c>
      <c r="K151" s="5">
        <v>7</v>
      </c>
      <c r="L151" s="4" t="s">
        <v>279</v>
      </c>
      <c r="M151" s="6">
        <f t="shared" si="12"/>
        <v>16</v>
      </c>
      <c r="N151" s="7">
        <f t="shared" si="13"/>
        <v>0.0806451612903226</v>
      </c>
      <c r="O151" s="7">
        <f t="shared" si="14"/>
        <v>0.363636363636364</v>
      </c>
      <c r="P151" s="7">
        <f t="shared" si="11"/>
        <v>0.333333333333333</v>
      </c>
      <c r="Q151" s="38" t="s">
        <v>23</v>
      </c>
    </row>
    <row r="152" s="1" customFormat="1" ht="27" spans="1:17">
      <c r="A152" s="17">
        <v>44694</v>
      </c>
      <c r="B152" s="18">
        <v>2801</v>
      </c>
      <c r="C152" s="1">
        <v>1767</v>
      </c>
      <c r="D152" s="2">
        <v>122</v>
      </c>
      <c r="E152" s="3">
        <v>29</v>
      </c>
      <c r="F152" s="1">
        <v>17</v>
      </c>
      <c r="G152" s="1">
        <v>81</v>
      </c>
      <c r="H152" s="1">
        <v>17</v>
      </c>
      <c r="I152" s="4">
        <v>3</v>
      </c>
      <c r="J152" s="4" t="s">
        <v>280</v>
      </c>
      <c r="K152" s="5">
        <v>6</v>
      </c>
      <c r="L152" s="4" t="s">
        <v>281</v>
      </c>
      <c r="M152" s="6">
        <f t="shared" si="12"/>
        <v>26</v>
      </c>
      <c r="N152" s="7">
        <f t="shared" si="13"/>
        <v>0.274193548387097</v>
      </c>
      <c r="O152" s="7">
        <f t="shared" si="14"/>
        <v>0.6</v>
      </c>
      <c r="P152" s="7">
        <f t="shared" ref="P152:P215" si="15">K152/(I151+K151)</f>
        <v>0.545454545454545</v>
      </c>
      <c r="Q152" s="37" t="s">
        <v>21</v>
      </c>
    </row>
    <row r="153" s="1" customFormat="1" spans="1:17">
      <c r="A153" s="17">
        <v>44697</v>
      </c>
      <c r="B153" s="1">
        <v>2186</v>
      </c>
      <c r="C153" s="1">
        <v>2378</v>
      </c>
      <c r="D153" s="2">
        <v>112</v>
      </c>
      <c r="E153" s="3">
        <v>23</v>
      </c>
      <c r="F153" s="1">
        <v>19</v>
      </c>
      <c r="G153" s="1">
        <v>65</v>
      </c>
      <c r="H153" s="1">
        <v>21</v>
      </c>
      <c r="I153" s="4">
        <v>5</v>
      </c>
      <c r="J153" s="4" t="s">
        <v>282</v>
      </c>
      <c r="K153" s="5">
        <v>5</v>
      </c>
      <c r="L153" s="4" t="s">
        <v>283</v>
      </c>
      <c r="M153" s="6">
        <f t="shared" si="12"/>
        <v>31</v>
      </c>
      <c r="N153" s="7">
        <f t="shared" si="13"/>
        <v>0.259259259259259</v>
      </c>
      <c r="O153" s="7">
        <f t="shared" si="14"/>
        <v>0.294117647058824</v>
      </c>
      <c r="P153" s="7">
        <f t="shared" si="15"/>
        <v>0.555555555555556</v>
      </c>
      <c r="Q153" s="37" t="s">
        <v>21</v>
      </c>
    </row>
    <row r="154" s="1" customFormat="1" spans="1:17">
      <c r="A154" s="17">
        <v>44698</v>
      </c>
      <c r="B154" s="1">
        <v>1968</v>
      </c>
      <c r="C154" s="21">
        <v>2645</v>
      </c>
      <c r="D154" s="2">
        <v>85</v>
      </c>
      <c r="E154" s="3">
        <v>29</v>
      </c>
      <c r="F154" s="1">
        <v>23</v>
      </c>
      <c r="G154" s="1">
        <v>54</v>
      </c>
      <c r="H154" s="1">
        <v>6</v>
      </c>
      <c r="I154" s="4">
        <v>3</v>
      </c>
      <c r="J154" s="4" t="s">
        <v>284</v>
      </c>
      <c r="K154" s="5">
        <v>3</v>
      </c>
      <c r="L154" s="4" t="s">
        <v>285</v>
      </c>
      <c r="M154" s="6">
        <f t="shared" si="12"/>
        <v>12</v>
      </c>
      <c r="N154" s="7">
        <f t="shared" si="13"/>
        <v>0.0923076923076923</v>
      </c>
      <c r="O154" s="7">
        <f t="shared" si="14"/>
        <v>0.142857142857143</v>
      </c>
      <c r="P154" s="7">
        <f t="shared" si="15"/>
        <v>0.3</v>
      </c>
      <c r="Q154" s="38" t="s">
        <v>23</v>
      </c>
    </row>
    <row r="155" s="1" customFormat="1" spans="1:17">
      <c r="A155" s="17">
        <v>44699</v>
      </c>
      <c r="B155" s="18">
        <v>2839</v>
      </c>
      <c r="C155" s="1">
        <v>1761</v>
      </c>
      <c r="D155" s="2">
        <v>115</v>
      </c>
      <c r="E155" s="3">
        <v>10</v>
      </c>
      <c r="F155" s="1">
        <v>26</v>
      </c>
      <c r="G155" s="1">
        <v>77</v>
      </c>
      <c r="H155" s="1">
        <v>15</v>
      </c>
      <c r="I155" s="4">
        <v>1</v>
      </c>
      <c r="J155" s="4" t="s">
        <v>286</v>
      </c>
      <c r="K155" s="5">
        <v>3</v>
      </c>
      <c r="L155" s="4" t="s">
        <v>287</v>
      </c>
      <c r="M155" s="6">
        <f t="shared" si="12"/>
        <v>19</v>
      </c>
      <c r="N155" s="7">
        <f t="shared" si="13"/>
        <v>0.277777777777778</v>
      </c>
      <c r="O155" s="7">
        <f t="shared" si="14"/>
        <v>0.166666666666667</v>
      </c>
      <c r="P155" s="7">
        <f t="shared" si="15"/>
        <v>0.5</v>
      </c>
      <c r="Q155" s="37" t="s">
        <v>21</v>
      </c>
    </row>
    <row r="156" s="1" customFormat="1" ht="27" spans="1:17">
      <c r="A156" s="17">
        <v>44700</v>
      </c>
      <c r="B156" s="18">
        <v>2761</v>
      </c>
      <c r="C156" s="1">
        <v>1807</v>
      </c>
      <c r="D156" s="2">
        <v>95</v>
      </c>
      <c r="E156" s="3">
        <v>7</v>
      </c>
      <c r="F156" s="1">
        <v>26</v>
      </c>
      <c r="G156" s="1">
        <v>51</v>
      </c>
      <c r="H156" s="1">
        <v>11</v>
      </c>
      <c r="I156" s="1">
        <v>9</v>
      </c>
      <c r="J156" s="4" t="s">
        <v>288</v>
      </c>
      <c r="K156" s="5">
        <v>3</v>
      </c>
      <c r="L156" s="4" t="s">
        <v>289</v>
      </c>
      <c r="M156" s="6">
        <f t="shared" si="12"/>
        <v>23</v>
      </c>
      <c r="N156" s="7">
        <f t="shared" si="13"/>
        <v>0.142857142857143</v>
      </c>
      <c r="O156" s="7">
        <f t="shared" si="14"/>
        <v>0.6</v>
      </c>
      <c r="P156" s="7">
        <f t="shared" si="15"/>
        <v>0.75</v>
      </c>
      <c r="Q156" s="37" t="s">
        <v>21</v>
      </c>
    </row>
    <row r="157" s="1" customFormat="1" ht="27" spans="1:17">
      <c r="A157" s="17">
        <v>44701</v>
      </c>
      <c r="B157" s="18">
        <v>3558</v>
      </c>
      <c r="C157" s="1">
        <v>1063</v>
      </c>
      <c r="D157" s="2">
        <v>105</v>
      </c>
      <c r="E157" s="3">
        <v>4</v>
      </c>
      <c r="F157" s="1">
        <v>30</v>
      </c>
      <c r="G157" s="1">
        <v>61</v>
      </c>
      <c r="H157" s="1">
        <v>9</v>
      </c>
      <c r="I157" s="4">
        <v>2</v>
      </c>
      <c r="J157" s="4" t="s">
        <v>290</v>
      </c>
      <c r="K157" s="5">
        <v>6</v>
      </c>
      <c r="L157" s="4" t="s">
        <v>291</v>
      </c>
      <c r="M157" s="6">
        <f t="shared" si="12"/>
        <v>17</v>
      </c>
      <c r="N157" s="7">
        <f t="shared" si="13"/>
        <v>0.176470588235294</v>
      </c>
      <c r="O157" s="7">
        <f t="shared" si="14"/>
        <v>0.181818181818182</v>
      </c>
      <c r="P157" s="7">
        <f t="shared" si="15"/>
        <v>0.5</v>
      </c>
      <c r="Q157" s="38" t="s">
        <v>23</v>
      </c>
    </row>
    <row r="158" s="1" customFormat="1" spans="1:17">
      <c r="A158" s="17">
        <v>44704</v>
      </c>
      <c r="B158" s="18">
        <v>3506</v>
      </c>
      <c r="C158" s="1">
        <v>1132</v>
      </c>
      <c r="D158" s="2">
        <v>111</v>
      </c>
      <c r="E158" s="3">
        <v>13</v>
      </c>
      <c r="F158" s="1">
        <v>26</v>
      </c>
      <c r="G158" s="1">
        <v>72</v>
      </c>
      <c r="H158" s="1">
        <v>12</v>
      </c>
      <c r="I158" s="4">
        <v>5</v>
      </c>
      <c r="J158" s="4" t="s">
        <v>292</v>
      </c>
      <c r="K158" s="5">
        <v>4</v>
      </c>
      <c r="L158" s="4" t="s">
        <v>293</v>
      </c>
      <c r="M158" s="6">
        <f t="shared" si="12"/>
        <v>21</v>
      </c>
      <c r="N158" s="7">
        <f t="shared" si="13"/>
        <v>0.19672131147541</v>
      </c>
      <c r="O158" s="7">
        <f t="shared" si="14"/>
        <v>0.555555555555556</v>
      </c>
      <c r="P158" s="7">
        <f t="shared" si="15"/>
        <v>0.5</v>
      </c>
      <c r="Q158" s="37" t="s">
        <v>21</v>
      </c>
    </row>
    <row r="159" s="1" customFormat="1" spans="1:17">
      <c r="A159" s="17">
        <v>44705</v>
      </c>
      <c r="B159" s="1">
        <v>284</v>
      </c>
      <c r="C159" s="21">
        <v>4467</v>
      </c>
      <c r="D159" s="2">
        <v>44</v>
      </c>
      <c r="E159" s="3">
        <v>71</v>
      </c>
      <c r="F159" s="1">
        <v>54</v>
      </c>
      <c r="G159" s="1">
        <v>25</v>
      </c>
      <c r="H159" s="1">
        <v>9</v>
      </c>
      <c r="I159" s="4">
        <v>1</v>
      </c>
      <c r="J159" s="4" t="s">
        <v>294</v>
      </c>
      <c r="K159" s="5">
        <v>5</v>
      </c>
      <c r="L159" s="4" t="s">
        <v>295</v>
      </c>
      <c r="M159" s="6">
        <f t="shared" si="12"/>
        <v>15</v>
      </c>
      <c r="N159" s="7">
        <f t="shared" si="13"/>
        <v>0.125</v>
      </c>
      <c r="O159" s="7">
        <f t="shared" si="14"/>
        <v>0.0833333333333333</v>
      </c>
      <c r="P159" s="7">
        <f t="shared" si="15"/>
        <v>0.555555555555556</v>
      </c>
      <c r="Q159" s="38" t="s">
        <v>23</v>
      </c>
    </row>
    <row r="160" s="1" customFormat="1" spans="1:17">
      <c r="A160" s="17">
        <v>44706</v>
      </c>
      <c r="B160" s="18">
        <v>4047</v>
      </c>
      <c r="C160" s="1">
        <v>659</v>
      </c>
      <c r="D160" s="2">
        <v>115</v>
      </c>
      <c r="E160" s="3">
        <v>11</v>
      </c>
      <c r="F160" s="1">
        <v>23</v>
      </c>
      <c r="G160" s="1">
        <v>80</v>
      </c>
      <c r="H160" s="1">
        <v>12</v>
      </c>
      <c r="I160" s="4">
        <v>5</v>
      </c>
      <c r="J160" s="4" t="s">
        <v>296</v>
      </c>
      <c r="K160" s="5">
        <v>3</v>
      </c>
      <c r="L160" s="4" t="s">
        <v>297</v>
      </c>
      <c r="M160" s="6">
        <f t="shared" si="12"/>
        <v>20</v>
      </c>
      <c r="N160" s="7">
        <f t="shared" si="13"/>
        <v>0.48</v>
      </c>
      <c r="O160" s="7">
        <f t="shared" si="14"/>
        <v>0.555555555555556</v>
      </c>
      <c r="P160" s="7">
        <f t="shared" si="15"/>
        <v>0.5</v>
      </c>
      <c r="Q160" s="37" t="s">
        <v>21</v>
      </c>
    </row>
    <row r="161" s="1" customFormat="1" spans="1:17">
      <c r="A161" s="17">
        <v>44707</v>
      </c>
      <c r="B161" s="18">
        <v>2757</v>
      </c>
      <c r="C161" s="1">
        <v>1869</v>
      </c>
      <c r="D161" s="2">
        <v>73</v>
      </c>
      <c r="E161" s="3">
        <v>10</v>
      </c>
      <c r="F161" s="1">
        <v>38</v>
      </c>
      <c r="G161" s="1">
        <v>46</v>
      </c>
      <c r="H161" s="1">
        <v>13</v>
      </c>
      <c r="I161" s="4">
        <v>3</v>
      </c>
      <c r="J161" s="4" t="s">
        <v>298</v>
      </c>
      <c r="K161" s="5">
        <v>3</v>
      </c>
      <c r="L161" s="4" t="s">
        <v>299</v>
      </c>
      <c r="M161" s="6">
        <f t="shared" si="12"/>
        <v>19</v>
      </c>
      <c r="N161" s="7">
        <f t="shared" si="13"/>
        <v>0.1625</v>
      </c>
      <c r="O161" s="7">
        <f t="shared" si="14"/>
        <v>0.25</v>
      </c>
      <c r="P161" s="7">
        <f t="shared" si="15"/>
        <v>0.375</v>
      </c>
      <c r="Q161" s="38" t="s">
        <v>23</v>
      </c>
    </row>
    <row r="162" s="1" customFormat="1" spans="1:17">
      <c r="A162" s="17">
        <v>44708</v>
      </c>
      <c r="B162" s="1">
        <v>1904</v>
      </c>
      <c r="C162" s="21">
        <v>2674</v>
      </c>
      <c r="D162" s="2">
        <v>89</v>
      </c>
      <c r="E162" s="3">
        <v>17</v>
      </c>
      <c r="F162" s="1">
        <v>28</v>
      </c>
      <c r="G162" s="1">
        <v>65</v>
      </c>
      <c r="H162" s="1">
        <v>11</v>
      </c>
      <c r="I162" s="4">
        <v>6</v>
      </c>
      <c r="J162" s="4" t="s">
        <v>300</v>
      </c>
      <c r="K162" s="5">
        <v>4</v>
      </c>
      <c r="L162" s="4" t="s">
        <v>301</v>
      </c>
      <c r="M162" s="6">
        <f t="shared" si="12"/>
        <v>21</v>
      </c>
      <c r="N162" s="7">
        <f t="shared" si="13"/>
        <v>0.239130434782609</v>
      </c>
      <c r="O162" s="7">
        <f t="shared" si="14"/>
        <v>0.461538461538462</v>
      </c>
      <c r="P162" s="7">
        <f t="shared" si="15"/>
        <v>0.666666666666667</v>
      </c>
      <c r="Q162" s="37" t="s">
        <v>21</v>
      </c>
    </row>
    <row r="163" s="1" customFormat="1" ht="27" spans="1:17">
      <c r="A163" s="17">
        <v>44711</v>
      </c>
      <c r="B163" s="18">
        <v>2995</v>
      </c>
      <c r="C163" s="1">
        <v>1604</v>
      </c>
      <c r="D163" s="2">
        <v>106</v>
      </c>
      <c r="E163" s="3">
        <v>17</v>
      </c>
      <c r="F163" s="1">
        <v>30</v>
      </c>
      <c r="G163" s="1">
        <v>66</v>
      </c>
      <c r="H163" s="1">
        <v>17</v>
      </c>
      <c r="I163" s="4">
        <v>5</v>
      </c>
      <c r="J163" s="4" t="s">
        <v>302</v>
      </c>
      <c r="K163" s="5">
        <v>7</v>
      </c>
      <c r="L163" s="4" t="s">
        <v>303</v>
      </c>
      <c r="M163" s="6">
        <f t="shared" si="12"/>
        <v>29</v>
      </c>
      <c r="N163" s="7">
        <f t="shared" si="13"/>
        <v>0.261538461538462</v>
      </c>
      <c r="O163" s="7">
        <f t="shared" si="14"/>
        <v>0.454545454545455</v>
      </c>
      <c r="P163" s="7">
        <f t="shared" si="15"/>
        <v>0.7</v>
      </c>
      <c r="Q163" s="37" t="s">
        <v>21</v>
      </c>
    </row>
    <row r="164" s="1" customFormat="1" spans="1:17">
      <c r="A164" s="17">
        <v>44712</v>
      </c>
      <c r="B164" s="18">
        <v>3372</v>
      </c>
      <c r="C164" s="1">
        <v>1234</v>
      </c>
      <c r="D164" s="2">
        <v>106</v>
      </c>
      <c r="E164" s="3">
        <v>17</v>
      </c>
      <c r="F164" s="1">
        <v>17</v>
      </c>
      <c r="G164" s="1">
        <v>68</v>
      </c>
      <c r="H164" s="1">
        <v>13</v>
      </c>
      <c r="I164" s="4">
        <v>5</v>
      </c>
      <c r="J164" s="4" t="s">
        <v>304</v>
      </c>
      <c r="K164" s="5">
        <v>4</v>
      </c>
      <c r="L164" s="4" t="s">
        <v>305</v>
      </c>
      <c r="M164" s="6">
        <f t="shared" si="12"/>
        <v>22</v>
      </c>
      <c r="N164" s="7">
        <f t="shared" si="13"/>
        <v>0.196969696969697</v>
      </c>
      <c r="O164" s="7">
        <f t="shared" si="14"/>
        <v>0.294117647058824</v>
      </c>
      <c r="P164" s="7">
        <f t="shared" si="15"/>
        <v>0.333333333333333</v>
      </c>
      <c r="Q164" s="38" t="s">
        <v>23</v>
      </c>
    </row>
    <row r="165" s="1" customFormat="1" spans="1:17">
      <c r="A165" s="17">
        <v>44713</v>
      </c>
      <c r="B165" s="18">
        <v>2796</v>
      </c>
      <c r="C165" s="1">
        <v>1810</v>
      </c>
      <c r="D165" s="2">
        <v>92</v>
      </c>
      <c r="E165" s="3">
        <v>11</v>
      </c>
      <c r="F165" s="1">
        <v>29</v>
      </c>
      <c r="G165" s="1">
        <v>65</v>
      </c>
      <c r="H165" s="1">
        <v>7</v>
      </c>
      <c r="I165" s="4">
        <v>4</v>
      </c>
      <c r="J165" s="4" t="s">
        <v>306</v>
      </c>
      <c r="K165" s="5">
        <v>6</v>
      </c>
      <c r="L165" s="4" t="s">
        <v>307</v>
      </c>
      <c r="M165" s="6">
        <f t="shared" si="12"/>
        <v>17</v>
      </c>
      <c r="N165" s="7">
        <f t="shared" si="13"/>
        <v>0.102941176470588</v>
      </c>
      <c r="O165" s="7">
        <f t="shared" si="14"/>
        <v>0.307692307692308</v>
      </c>
      <c r="P165" s="7">
        <f t="shared" si="15"/>
        <v>0.666666666666667</v>
      </c>
      <c r="Q165" s="37" t="s">
        <v>21</v>
      </c>
    </row>
    <row r="166" s="1" customFormat="1" spans="1:17">
      <c r="A166" s="17">
        <v>44714</v>
      </c>
      <c r="B166" s="18">
        <v>2991</v>
      </c>
      <c r="C166" s="1">
        <v>1668</v>
      </c>
      <c r="D166" s="2">
        <v>99</v>
      </c>
      <c r="E166" s="3">
        <v>16</v>
      </c>
      <c r="F166" s="1">
        <v>24</v>
      </c>
      <c r="G166" s="1">
        <v>64</v>
      </c>
      <c r="H166" s="1">
        <v>15</v>
      </c>
      <c r="I166" s="4">
        <v>5</v>
      </c>
      <c r="J166" s="4" t="s">
        <v>308</v>
      </c>
      <c r="K166" s="5">
        <v>5</v>
      </c>
      <c r="L166" s="4" t="s">
        <v>309</v>
      </c>
      <c r="M166" s="6">
        <f t="shared" si="12"/>
        <v>25</v>
      </c>
      <c r="N166" s="7">
        <f t="shared" si="13"/>
        <v>0.230769230769231</v>
      </c>
      <c r="O166" s="7">
        <f t="shared" si="14"/>
        <v>0.714285714285714</v>
      </c>
      <c r="P166" s="7">
        <f t="shared" si="15"/>
        <v>0.5</v>
      </c>
      <c r="Q166" s="38" t="s">
        <v>23</v>
      </c>
    </row>
    <row r="167" s="1" customFormat="1" spans="1:17">
      <c r="A167" s="17">
        <v>44718</v>
      </c>
      <c r="B167" s="18">
        <v>3769</v>
      </c>
      <c r="C167" s="1">
        <v>882</v>
      </c>
      <c r="D167" s="2">
        <v>97</v>
      </c>
      <c r="E167" s="3">
        <v>18</v>
      </c>
      <c r="F167" s="1">
        <v>28</v>
      </c>
      <c r="G167" s="1">
        <v>65</v>
      </c>
      <c r="H167" s="1">
        <v>14</v>
      </c>
      <c r="I167" s="4">
        <v>4</v>
      </c>
      <c r="J167" s="4" t="s">
        <v>310</v>
      </c>
      <c r="K167" s="5">
        <v>3</v>
      </c>
      <c r="L167" s="4" t="s">
        <v>311</v>
      </c>
      <c r="M167" s="6">
        <f t="shared" si="12"/>
        <v>21</v>
      </c>
      <c r="N167" s="7">
        <f t="shared" si="13"/>
        <v>0.21875</v>
      </c>
      <c r="O167" s="7">
        <f t="shared" si="14"/>
        <v>0.266666666666667</v>
      </c>
      <c r="P167" s="7">
        <f t="shared" si="15"/>
        <v>0.3</v>
      </c>
      <c r="Q167" s="38" t="s">
        <v>23</v>
      </c>
    </row>
    <row r="168" s="1" customFormat="1" spans="1:17">
      <c r="A168" s="17">
        <v>44719</v>
      </c>
      <c r="B168" s="1">
        <v>1574</v>
      </c>
      <c r="C168" s="21">
        <v>3110</v>
      </c>
      <c r="D168" s="2">
        <v>72</v>
      </c>
      <c r="E168" s="3">
        <v>18</v>
      </c>
      <c r="F168" s="1">
        <v>26</v>
      </c>
      <c r="G168" s="1">
        <v>45</v>
      </c>
      <c r="H168" s="1">
        <v>10</v>
      </c>
      <c r="I168" s="4">
        <v>4</v>
      </c>
      <c r="J168" s="4" t="s">
        <v>312</v>
      </c>
      <c r="K168" s="5">
        <v>2</v>
      </c>
      <c r="L168" s="4" t="s">
        <v>313</v>
      </c>
      <c r="M168" s="6">
        <f t="shared" si="12"/>
        <v>16</v>
      </c>
      <c r="N168" s="7">
        <f t="shared" si="13"/>
        <v>0.153846153846154</v>
      </c>
      <c r="O168" s="7">
        <f t="shared" si="14"/>
        <v>0.285714285714286</v>
      </c>
      <c r="P168" s="7">
        <f t="shared" si="15"/>
        <v>0.285714285714286</v>
      </c>
      <c r="Q168" s="38" t="s">
        <v>23</v>
      </c>
    </row>
    <row r="169" s="1" customFormat="1" spans="1:17">
      <c r="A169" s="17">
        <v>44720</v>
      </c>
      <c r="B169" s="1">
        <v>1712</v>
      </c>
      <c r="C169" s="21">
        <v>2925</v>
      </c>
      <c r="D169" s="2">
        <v>80</v>
      </c>
      <c r="E169" s="3">
        <v>10</v>
      </c>
      <c r="F169" s="1">
        <v>34</v>
      </c>
      <c r="G169" s="1">
        <v>46</v>
      </c>
      <c r="H169" s="1">
        <v>8</v>
      </c>
      <c r="I169" s="4">
        <v>1</v>
      </c>
      <c r="J169" s="4" t="s">
        <v>314</v>
      </c>
      <c r="K169" s="5">
        <v>4</v>
      </c>
      <c r="L169" s="4" t="s">
        <v>315</v>
      </c>
      <c r="M169" s="6">
        <f t="shared" si="12"/>
        <v>13</v>
      </c>
      <c r="N169" s="7">
        <f t="shared" si="13"/>
        <v>0.177777777777778</v>
      </c>
      <c r="O169" s="7">
        <f t="shared" si="14"/>
        <v>0.1</v>
      </c>
      <c r="P169" s="7">
        <f t="shared" si="15"/>
        <v>0.666666666666667</v>
      </c>
      <c r="Q169" s="37" t="s">
        <v>21</v>
      </c>
    </row>
    <row r="170" s="1" customFormat="1" spans="1:17">
      <c r="A170" s="17">
        <v>44721</v>
      </c>
      <c r="B170" s="1">
        <v>728</v>
      </c>
      <c r="C170" s="21">
        <v>4003</v>
      </c>
      <c r="D170" s="2">
        <v>50</v>
      </c>
      <c r="E170" s="3">
        <v>13</v>
      </c>
      <c r="F170" s="1">
        <v>29</v>
      </c>
      <c r="G170" s="1">
        <v>30</v>
      </c>
      <c r="H170" s="1">
        <v>8</v>
      </c>
      <c r="I170" s="4">
        <v>2</v>
      </c>
      <c r="J170" s="4" t="s">
        <v>316</v>
      </c>
      <c r="K170" s="5">
        <v>2</v>
      </c>
      <c r="L170" s="4" t="s">
        <v>317</v>
      </c>
      <c r="M170" s="6">
        <f t="shared" si="12"/>
        <v>12</v>
      </c>
      <c r="N170" s="7">
        <f t="shared" si="13"/>
        <v>0.173913043478261</v>
      </c>
      <c r="O170" s="7">
        <f t="shared" si="14"/>
        <v>0.25</v>
      </c>
      <c r="P170" s="7">
        <f t="shared" si="15"/>
        <v>0.4</v>
      </c>
      <c r="Q170" s="38" t="s">
        <v>23</v>
      </c>
    </row>
    <row r="171" s="1" customFormat="1" spans="1:17">
      <c r="A171" s="17">
        <v>44722</v>
      </c>
      <c r="B171" s="18">
        <v>4003</v>
      </c>
      <c r="C171" s="1">
        <v>651</v>
      </c>
      <c r="D171" s="2">
        <v>103</v>
      </c>
      <c r="E171" s="3">
        <v>6</v>
      </c>
      <c r="F171" s="1">
        <v>25</v>
      </c>
      <c r="G171" s="1">
        <v>81</v>
      </c>
      <c r="H171" s="1">
        <v>4</v>
      </c>
      <c r="I171" s="4">
        <v>4</v>
      </c>
      <c r="J171" s="4" t="s">
        <v>318</v>
      </c>
      <c r="K171" s="5">
        <v>4</v>
      </c>
      <c r="L171" s="4" t="s">
        <v>319</v>
      </c>
      <c r="M171" s="6">
        <f t="shared" si="12"/>
        <v>12</v>
      </c>
      <c r="N171" s="7">
        <f t="shared" si="13"/>
        <v>0.133333333333333</v>
      </c>
      <c r="O171" s="7">
        <f t="shared" si="14"/>
        <v>0.5</v>
      </c>
      <c r="P171" s="7">
        <f t="shared" si="15"/>
        <v>1</v>
      </c>
      <c r="Q171" s="37" t="s">
        <v>21</v>
      </c>
    </row>
    <row r="172" s="1" customFormat="1" spans="1:17">
      <c r="A172" s="17">
        <v>44725</v>
      </c>
      <c r="B172" s="1">
        <v>2411</v>
      </c>
      <c r="C172" s="1">
        <v>2286</v>
      </c>
      <c r="D172" s="2">
        <v>83</v>
      </c>
      <c r="E172" s="3">
        <v>7</v>
      </c>
      <c r="F172" s="1">
        <v>28</v>
      </c>
      <c r="G172" s="1">
        <v>52</v>
      </c>
      <c r="H172" s="1">
        <v>11</v>
      </c>
      <c r="I172" s="4">
        <v>2</v>
      </c>
      <c r="J172" s="4" t="s">
        <v>320</v>
      </c>
      <c r="K172" s="5">
        <v>2</v>
      </c>
      <c r="L172" s="4" t="s">
        <v>321</v>
      </c>
      <c r="M172" s="6">
        <f t="shared" si="12"/>
        <v>15</v>
      </c>
      <c r="N172" s="7">
        <f t="shared" si="13"/>
        <v>0.135802469135802</v>
      </c>
      <c r="O172" s="7">
        <f t="shared" si="14"/>
        <v>0.5</v>
      </c>
      <c r="P172" s="7">
        <f t="shared" si="15"/>
        <v>0.25</v>
      </c>
      <c r="Q172" s="38" t="s">
        <v>23</v>
      </c>
    </row>
    <row r="173" s="1" customFormat="1" spans="1:17">
      <c r="A173" s="17">
        <v>44726</v>
      </c>
      <c r="B173" s="1">
        <v>2030</v>
      </c>
      <c r="C173" s="21">
        <v>2580</v>
      </c>
      <c r="D173" s="2">
        <v>71</v>
      </c>
      <c r="E173" s="3">
        <v>8</v>
      </c>
      <c r="F173" s="1">
        <v>28</v>
      </c>
      <c r="G173" s="1">
        <v>46</v>
      </c>
      <c r="H173" s="1">
        <v>8</v>
      </c>
      <c r="I173" s="4">
        <v>4</v>
      </c>
      <c r="J173" s="50" t="s">
        <v>322</v>
      </c>
      <c r="K173" s="5">
        <v>2</v>
      </c>
      <c r="L173" s="50" t="s">
        <v>323</v>
      </c>
      <c r="M173" s="6">
        <f t="shared" si="12"/>
        <v>14</v>
      </c>
      <c r="N173" s="7">
        <f t="shared" si="13"/>
        <v>0.153846153846154</v>
      </c>
      <c r="O173" s="7">
        <f t="shared" si="14"/>
        <v>0.363636363636364</v>
      </c>
      <c r="P173" s="7">
        <f t="shared" si="15"/>
        <v>0.5</v>
      </c>
      <c r="Q173" s="37" t="s">
        <v>21</v>
      </c>
    </row>
    <row r="174" s="1" customFormat="1" spans="1:17">
      <c r="A174" s="17">
        <v>44727</v>
      </c>
      <c r="B174" s="1">
        <v>2103</v>
      </c>
      <c r="C174" s="21">
        <v>2523</v>
      </c>
      <c r="D174" s="2">
        <v>60</v>
      </c>
      <c r="E174" s="3">
        <v>15</v>
      </c>
      <c r="F174" s="1">
        <v>47</v>
      </c>
      <c r="G174" s="1">
        <v>42</v>
      </c>
      <c r="H174" s="1">
        <v>10</v>
      </c>
      <c r="I174" s="4">
        <v>1</v>
      </c>
      <c r="J174" s="50" t="s">
        <v>324</v>
      </c>
      <c r="K174" s="5">
        <v>3</v>
      </c>
      <c r="L174" s="50" t="s">
        <v>325</v>
      </c>
      <c r="M174" s="6">
        <f t="shared" si="12"/>
        <v>14</v>
      </c>
      <c r="N174" s="7">
        <f t="shared" si="13"/>
        <v>0.217391304347826</v>
      </c>
      <c r="O174" s="7">
        <f t="shared" si="14"/>
        <v>0.125</v>
      </c>
      <c r="P174" s="7">
        <f t="shared" si="15"/>
        <v>0.5</v>
      </c>
      <c r="Q174" s="38" t="s">
        <v>23</v>
      </c>
    </row>
    <row r="175" s="1" customFormat="1" spans="1:17">
      <c r="A175" s="49">
        <v>44728</v>
      </c>
      <c r="B175" s="40">
        <v>2994</v>
      </c>
      <c r="C175" s="41">
        <v>1662</v>
      </c>
      <c r="D175" s="41">
        <v>73</v>
      </c>
      <c r="E175" s="41">
        <v>6</v>
      </c>
      <c r="F175" s="41">
        <v>29</v>
      </c>
      <c r="G175" s="41">
        <v>53</v>
      </c>
      <c r="H175" s="50">
        <v>9</v>
      </c>
      <c r="I175" s="4">
        <v>1</v>
      </c>
      <c r="J175" s="50" t="s">
        <v>326</v>
      </c>
      <c r="K175" s="5">
        <v>2</v>
      </c>
      <c r="L175" s="4" t="s">
        <v>327</v>
      </c>
      <c r="M175" s="6">
        <f t="shared" si="12"/>
        <v>12</v>
      </c>
      <c r="N175" s="7">
        <f t="shared" si="13"/>
        <v>0.214285714285714</v>
      </c>
      <c r="O175" s="7">
        <f t="shared" si="14"/>
        <v>0.1</v>
      </c>
      <c r="P175" s="7">
        <f t="shared" si="15"/>
        <v>0.5</v>
      </c>
      <c r="Q175" s="38" t="s">
        <v>23</v>
      </c>
    </row>
    <row r="176" s="1" customFormat="1" spans="1:17">
      <c r="A176" s="49">
        <v>44729</v>
      </c>
      <c r="B176" s="41">
        <v>2350</v>
      </c>
      <c r="C176" s="41">
        <v>2291</v>
      </c>
      <c r="D176" s="41">
        <v>71</v>
      </c>
      <c r="E176" s="41">
        <v>3</v>
      </c>
      <c r="F176" s="41">
        <v>22</v>
      </c>
      <c r="G176" s="41">
        <v>55</v>
      </c>
      <c r="H176" s="50">
        <v>6</v>
      </c>
      <c r="I176" s="4">
        <v>1</v>
      </c>
      <c r="J176" s="50" t="s">
        <v>328</v>
      </c>
      <c r="K176" s="5">
        <v>2</v>
      </c>
      <c r="L176" s="50" t="s">
        <v>329</v>
      </c>
      <c r="M176" s="6">
        <f t="shared" si="12"/>
        <v>9</v>
      </c>
      <c r="N176" s="7">
        <f t="shared" si="13"/>
        <v>0.113207547169811</v>
      </c>
      <c r="O176" s="7">
        <f t="shared" si="14"/>
        <v>0.111111111111111</v>
      </c>
      <c r="P176" s="7">
        <f t="shared" si="15"/>
        <v>0.666666666666667</v>
      </c>
      <c r="Q176" s="37" t="s">
        <v>21</v>
      </c>
    </row>
    <row r="177" s="1" customFormat="1" spans="1:17">
      <c r="A177" s="49">
        <v>44732</v>
      </c>
      <c r="B177" s="40">
        <v>3233</v>
      </c>
      <c r="C177" s="41">
        <v>1419</v>
      </c>
      <c r="D177" s="41">
        <v>103</v>
      </c>
      <c r="E177" s="41">
        <v>13</v>
      </c>
      <c r="F177" s="41">
        <v>30</v>
      </c>
      <c r="G177" s="41">
        <v>69</v>
      </c>
      <c r="H177" s="50">
        <v>18</v>
      </c>
      <c r="I177" s="4">
        <v>1</v>
      </c>
      <c r="J177" s="4" t="s">
        <v>330</v>
      </c>
      <c r="K177" s="5">
        <v>3</v>
      </c>
      <c r="L177" s="50" t="s">
        <v>331</v>
      </c>
      <c r="M177" s="6">
        <f t="shared" si="12"/>
        <v>22</v>
      </c>
      <c r="N177" s="7">
        <f t="shared" si="13"/>
        <v>0.327272727272727</v>
      </c>
      <c r="O177" s="7">
        <f t="shared" si="14"/>
        <v>0.166666666666667</v>
      </c>
      <c r="P177" s="7">
        <f t="shared" si="15"/>
        <v>1</v>
      </c>
      <c r="Q177" s="37" t="s">
        <v>21</v>
      </c>
    </row>
    <row r="178" s="1" customFormat="1" spans="1:17">
      <c r="A178" s="49">
        <v>44733</v>
      </c>
      <c r="B178" s="41">
        <v>1721</v>
      </c>
      <c r="C178" s="51">
        <v>2912</v>
      </c>
      <c r="D178" s="41">
        <v>60</v>
      </c>
      <c r="E178" s="41">
        <v>10</v>
      </c>
      <c r="F178" s="41">
        <v>36</v>
      </c>
      <c r="G178" s="41">
        <v>40</v>
      </c>
      <c r="H178" s="50">
        <v>6</v>
      </c>
      <c r="I178" s="4">
        <v>4</v>
      </c>
      <c r="J178" s="4" t="s">
        <v>332</v>
      </c>
      <c r="K178" s="5">
        <v>2</v>
      </c>
      <c r="L178" s="4" t="s">
        <v>333</v>
      </c>
      <c r="M178" s="6">
        <f t="shared" si="12"/>
        <v>12</v>
      </c>
      <c r="N178" s="7">
        <f t="shared" si="13"/>
        <v>0.0869565217391304</v>
      </c>
      <c r="O178" s="7">
        <f t="shared" si="14"/>
        <v>0.222222222222222</v>
      </c>
      <c r="P178" s="7">
        <f t="shared" si="15"/>
        <v>0.5</v>
      </c>
      <c r="Q178" s="38" t="s">
        <v>23</v>
      </c>
    </row>
    <row r="179" s="1" customFormat="1" spans="1:17">
      <c r="A179" s="17">
        <v>44734</v>
      </c>
      <c r="B179" s="1">
        <v>948</v>
      </c>
      <c r="C179" s="21">
        <v>3792</v>
      </c>
      <c r="D179" s="2">
        <v>81</v>
      </c>
      <c r="E179" s="3">
        <v>6</v>
      </c>
      <c r="F179" s="1">
        <v>26</v>
      </c>
      <c r="G179" s="1">
        <v>49</v>
      </c>
      <c r="H179" s="1">
        <v>13</v>
      </c>
      <c r="I179" s="4">
        <v>4</v>
      </c>
      <c r="J179" s="4" t="s">
        <v>334</v>
      </c>
      <c r="K179" s="5">
        <v>5</v>
      </c>
      <c r="L179" s="4" t="s">
        <v>335</v>
      </c>
      <c r="M179" s="6">
        <f t="shared" si="12"/>
        <v>22</v>
      </c>
      <c r="N179" s="7">
        <f t="shared" si="13"/>
        <v>0.325</v>
      </c>
      <c r="O179" s="7">
        <f t="shared" si="14"/>
        <v>0.666666666666667</v>
      </c>
      <c r="P179" s="7">
        <f t="shared" si="15"/>
        <v>0.833333333333333</v>
      </c>
      <c r="Q179" s="37" t="s">
        <v>21</v>
      </c>
    </row>
    <row r="180" s="1" customFormat="1" ht="27" spans="1:17">
      <c r="A180" s="49">
        <v>44735</v>
      </c>
      <c r="B180" s="40">
        <v>4004</v>
      </c>
      <c r="C180" s="41">
        <v>707</v>
      </c>
      <c r="D180" s="41">
        <v>115</v>
      </c>
      <c r="E180" s="41">
        <v>2</v>
      </c>
      <c r="F180" s="41">
        <v>23</v>
      </c>
      <c r="G180" s="41">
        <v>86</v>
      </c>
      <c r="H180" s="50">
        <v>13</v>
      </c>
      <c r="I180" s="4">
        <v>1</v>
      </c>
      <c r="J180" s="4" t="s">
        <v>336</v>
      </c>
      <c r="K180" s="5">
        <v>6</v>
      </c>
      <c r="L180" s="4" t="s">
        <v>337</v>
      </c>
      <c r="M180" s="6">
        <f t="shared" si="12"/>
        <v>20</v>
      </c>
      <c r="N180" s="7">
        <f t="shared" si="13"/>
        <v>0.26530612244898</v>
      </c>
      <c r="O180" s="7">
        <f t="shared" si="14"/>
        <v>0.0769230769230769</v>
      </c>
      <c r="P180" s="7">
        <f t="shared" si="15"/>
        <v>0.666666666666667</v>
      </c>
      <c r="Q180" s="38" t="s">
        <v>23</v>
      </c>
    </row>
    <row r="181" s="1" customFormat="1" ht="27" spans="1:17">
      <c r="A181" s="49">
        <v>44736</v>
      </c>
      <c r="B181" s="40">
        <v>3040</v>
      </c>
      <c r="C181" s="41">
        <v>1568</v>
      </c>
      <c r="D181" s="41">
        <v>115</v>
      </c>
      <c r="E181" s="41">
        <v>3</v>
      </c>
      <c r="F181" s="41">
        <v>21</v>
      </c>
      <c r="G181" s="41">
        <v>74</v>
      </c>
      <c r="H181" s="50">
        <v>16</v>
      </c>
      <c r="I181" s="4">
        <v>5</v>
      </c>
      <c r="J181" s="4" t="s">
        <v>338</v>
      </c>
      <c r="K181" s="5">
        <v>6</v>
      </c>
      <c r="L181" s="4" t="s">
        <v>339</v>
      </c>
      <c r="M181" s="6">
        <f t="shared" si="12"/>
        <v>27</v>
      </c>
      <c r="N181" s="7">
        <f t="shared" si="13"/>
        <v>0.186046511627907</v>
      </c>
      <c r="O181" s="7">
        <f t="shared" si="14"/>
        <v>0.384615384615385</v>
      </c>
      <c r="P181" s="7">
        <f t="shared" si="15"/>
        <v>0.857142857142857</v>
      </c>
      <c r="Q181" s="37" t="s">
        <v>21</v>
      </c>
    </row>
    <row r="182" s="1" customFormat="1" ht="27" spans="1:17">
      <c r="A182" s="17">
        <v>44739</v>
      </c>
      <c r="B182" s="18">
        <v>2745</v>
      </c>
      <c r="C182" s="1">
        <v>1831</v>
      </c>
      <c r="D182" s="2">
        <v>114</v>
      </c>
      <c r="E182" s="3">
        <v>4</v>
      </c>
      <c r="F182" s="1">
        <v>26</v>
      </c>
      <c r="G182" s="1">
        <v>74</v>
      </c>
      <c r="H182" s="1">
        <v>13</v>
      </c>
      <c r="I182" s="4">
        <v>6</v>
      </c>
      <c r="J182" s="4" t="s">
        <v>340</v>
      </c>
      <c r="K182" s="5">
        <v>8</v>
      </c>
      <c r="L182" s="4" t="s">
        <v>341</v>
      </c>
      <c r="M182" s="6">
        <f t="shared" si="12"/>
        <v>27</v>
      </c>
      <c r="N182" s="7">
        <f t="shared" si="13"/>
        <v>0.175675675675676</v>
      </c>
      <c r="O182" s="7">
        <f t="shared" si="14"/>
        <v>0.375</v>
      </c>
      <c r="P182" s="7">
        <f t="shared" si="15"/>
        <v>0.727272727272727</v>
      </c>
      <c r="Q182" s="38" t="s">
        <v>23</v>
      </c>
    </row>
    <row r="183" s="1" customFormat="1" ht="40.5" spans="1:17">
      <c r="A183" s="49">
        <v>44740</v>
      </c>
      <c r="B183" s="40">
        <v>3612</v>
      </c>
      <c r="C183" s="41">
        <v>1090</v>
      </c>
      <c r="D183" s="41">
        <v>142</v>
      </c>
      <c r="E183" s="41">
        <v>0</v>
      </c>
      <c r="F183" s="41">
        <v>16</v>
      </c>
      <c r="G183" s="41">
        <v>91</v>
      </c>
      <c r="H183" s="50">
        <v>19</v>
      </c>
      <c r="I183" s="50">
        <v>10</v>
      </c>
      <c r="J183" s="4" t="s">
        <v>342</v>
      </c>
      <c r="K183" s="5">
        <v>12</v>
      </c>
      <c r="L183" s="4" t="s">
        <v>343</v>
      </c>
      <c r="M183" s="6">
        <f t="shared" si="12"/>
        <v>41</v>
      </c>
      <c r="N183" s="7">
        <f t="shared" si="13"/>
        <v>0.256756756756757</v>
      </c>
      <c r="O183" s="7">
        <f t="shared" si="14"/>
        <v>0.769230769230769</v>
      </c>
      <c r="P183" s="7">
        <f t="shared" si="15"/>
        <v>0.857142857142857</v>
      </c>
      <c r="Q183" s="37" t="s">
        <v>21</v>
      </c>
    </row>
    <row r="184" s="1" customFormat="1" ht="27" spans="1:17">
      <c r="A184" s="17">
        <v>44741</v>
      </c>
      <c r="B184" s="1">
        <v>774</v>
      </c>
      <c r="C184" s="21">
        <v>3973</v>
      </c>
      <c r="D184" s="2">
        <v>71</v>
      </c>
      <c r="E184" s="3">
        <v>50</v>
      </c>
      <c r="F184" s="1">
        <v>28</v>
      </c>
      <c r="G184" s="1">
        <v>33</v>
      </c>
      <c r="H184" s="1">
        <v>12</v>
      </c>
      <c r="I184" s="4">
        <v>3</v>
      </c>
      <c r="J184" s="4" t="s">
        <v>344</v>
      </c>
      <c r="K184" s="5">
        <v>8</v>
      </c>
      <c r="L184" s="4" t="s">
        <v>345</v>
      </c>
      <c r="M184" s="6">
        <f t="shared" si="12"/>
        <v>23</v>
      </c>
      <c r="N184" s="7">
        <f t="shared" si="13"/>
        <v>0.131868131868132</v>
      </c>
      <c r="O184" s="7">
        <f t="shared" si="14"/>
        <v>0.157894736842105</v>
      </c>
      <c r="P184" s="7">
        <f t="shared" si="15"/>
        <v>0.363636363636364</v>
      </c>
      <c r="Q184" s="38" t="s">
        <v>23</v>
      </c>
    </row>
    <row r="185" s="1" customFormat="1" spans="1:17">
      <c r="A185" s="17">
        <v>44742</v>
      </c>
      <c r="B185" s="18">
        <v>2803</v>
      </c>
      <c r="C185" s="1">
        <v>1769</v>
      </c>
      <c r="D185" s="2">
        <v>96</v>
      </c>
      <c r="E185" s="3">
        <v>17</v>
      </c>
      <c r="F185" s="1">
        <v>32</v>
      </c>
      <c r="G185" s="1">
        <v>69</v>
      </c>
      <c r="H185" s="1">
        <v>5</v>
      </c>
      <c r="I185" s="4">
        <v>4</v>
      </c>
      <c r="J185" s="4" t="s">
        <v>346</v>
      </c>
      <c r="K185" s="5">
        <v>4</v>
      </c>
      <c r="L185" s="4" t="s">
        <v>347</v>
      </c>
      <c r="M185" s="6">
        <f t="shared" si="12"/>
        <v>13</v>
      </c>
      <c r="N185" s="7">
        <f t="shared" si="13"/>
        <v>0.151515151515152</v>
      </c>
      <c r="O185" s="7">
        <f t="shared" si="14"/>
        <v>0.333333333333333</v>
      </c>
      <c r="P185" s="7">
        <f t="shared" si="15"/>
        <v>0.363636363636364</v>
      </c>
      <c r="Q185" s="38" t="s">
        <v>23</v>
      </c>
    </row>
    <row r="186" s="1" customFormat="1" spans="1:17">
      <c r="A186" s="49">
        <v>44743</v>
      </c>
      <c r="B186" s="41">
        <v>1923</v>
      </c>
      <c r="C186" s="51">
        <v>2739</v>
      </c>
      <c r="D186" s="41">
        <v>76</v>
      </c>
      <c r="E186" s="41">
        <v>29</v>
      </c>
      <c r="F186" s="41">
        <v>24</v>
      </c>
      <c r="G186" s="41">
        <v>51</v>
      </c>
      <c r="H186" s="50">
        <v>5</v>
      </c>
      <c r="I186" s="4">
        <v>1</v>
      </c>
      <c r="J186" s="4" t="s">
        <v>348</v>
      </c>
      <c r="K186" s="5">
        <v>2</v>
      </c>
      <c r="L186" s="4" t="s">
        <v>349</v>
      </c>
      <c r="M186" s="6">
        <f t="shared" si="12"/>
        <v>8</v>
      </c>
      <c r="N186" s="7">
        <f t="shared" si="13"/>
        <v>0.072463768115942</v>
      </c>
      <c r="O186" s="7">
        <f t="shared" si="14"/>
        <v>0.2</v>
      </c>
      <c r="P186" s="7">
        <f t="shared" si="15"/>
        <v>0.25</v>
      </c>
      <c r="Q186" s="38" t="s">
        <v>23</v>
      </c>
    </row>
    <row r="187" s="1" customFormat="1" spans="1:17">
      <c r="A187" s="49">
        <v>44746</v>
      </c>
      <c r="B187" s="40">
        <v>2549</v>
      </c>
      <c r="C187" s="41">
        <v>2099</v>
      </c>
      <c r="D187" s="41">
        <v>96</v>
      </c>
      <c r="E187" s="41">
        <v>17</v>
      </c>
      <c r="F187" s="41">
        <v>26</v>
      </c>
      <c r="G187" s="41">
        <v>66</v>
      </c>
      <c r="H187" s="50">
        <v>9</v>
      </c>
      <c r="I187" s="4">
        <v>1</v>
      </c>
      <c r="J187" s="4" t="s">
        <v>350</v>
      </c>
      <c r="K187" s="5">
        <v>1</v>
      </c>
      <c r="L187" s="4" t="s">
        <v>351</v>
      </c>
      <c r="M187" s="6">
        <f t="shared" si="12"/>
        <v>11</v>
      </c>
      <c r="N187" s="7">
        <f t="shared" si="13"/>
        <v>0.176470588235294</v>
      </c>
      <c r="O187" s="7">
        <f t="shared" si="14"/>
        <v>0.2</v>
      </c>
      <c r="P187" s="7">
        <f t="shared" si="15"/>
        <v>0.333333333333333</v>
      </c>
      <c r="Q187" s="37" t="s">
        <v>21</v>
      </c>
    </row>
    <row r="188" s="1" customFormat="1" spans="1:17">
      <c r="A188" s="17">
        <v>44747</v>
      </c>
      <c r="B188" s="1">
        <v>1257</v>
      </c>
      <c r="C188" s="21">
        <v>3463</v>
      </c>
      <c r="D188" s="2">
        <v>45</v>
      </c>
      <c r="E188" s="3">
        <v>10</v>
      </c>
      <c r="F188" s="1">
        <v>42</v>
      </c>
      <c r="G188" s="1">
        <v>29</v>
      </c>
      <c r="H188" s="1">
        <v>5</v>
      </c>
      <c r="I188" s="4">
        <v>3</v>
      </c>
      <c r="J188" s="4" t="s">
        <v>352</v>
      </c>
      <c r="K188" s="5">
        <v>1</v>
      </c>
      <c r="L188" s="4" t="s">
        <v>353</v>
      </c>
      <c r="M188" s="6">
        <f t="shared" si="12"/>
        <v>9</v>
      </c>
      <c r="N188" s="7">
        <f t="shared" si="13"/>
        <v>0.0757575757575758</v>
      </c>
      <c r="O188" s="7">
        <f t="shared" si="14"/>
        <v>0.333333333333333</v>
      </c>
      <c r="P188" s="7">
        <f t="shared" si="15"/>
        <v>0.5</v>
      </c>
      <c r="Q188" s="37" t="s">
        <v>21</v>
      </c>
    </row>
    <row r="189" s="1" customFormat="1" spans="1:17">
      <c r="A189" s="49">
        <v>44748</v>
      </c>
      <c r="B189" s="41">
        <v>1391</v>
      </c>
      <c r="C189" s="51">
        <v>3400</v>
      </c>
      <c r="D189" s="41">
        <v>58</v>
      </c>
      <c r="E189" s="41">
        <v>18</v>
      </c>
      <c r="F189" s="41">
        <v>24</v>
      </c>
      <c r="G189" s="41">
        <v>41</v>
      </c>
      <c r="H189" s="50">
        <v>4</v>
      </c>
      <c r="I189" s="4">
        <v>3</v>
      </c>
      <c r="J189" s="4" t="s">
        <v>354</v>
      </c>
      <c r="K189" s="5">
        <v>3</v>
      </c>
      <c r="L189" s="4" t="s">
        <v>355</v>
      </c>
      <c r="M189" s="6">
        <f t="shared" si="12"/>
        <v>10</v>
      </c>
      <c r="N189" s="7">
        <f t="shared" si="13"/>
        <v>0.137931034482759</v>
      </c>
      <c r="O189" s="7">
        <f t="shared" si="14"/>
        <v>0.6</v>
      </c>
      <c r="P189" s="7">
        <f t="shared" si="15"/>
        <v>0.75</v>
      </c>
      <c r="Q189" s="37" t="s">
        <v>21</v>
      </c>
    </row>
    <row r="190" s="1" customFormat="1" ht="27" spans="1:17">
      <c r="A190" s="17">
        <v>44749</v>
      </c>
      <c r="B190" s="18">
        <v>2605</v>
      </c>
      <c r="C190" s="1">
        <v>1988</v>
      </c>
      <c r="D190" s="2">
        <v>89</v>
      </c>
      <c r="E190" s="3">
        <v>2</v>
      </c>
      <c r="F190" s="1">
        <v>23</v>
      </c>
      <c r="G190" s="1">
        <v>61</v>
      </c>
      <c r="H190" s="1">
        <v>10</v>
      </c>
      <c r="I190" s="4">
        <v>1</v>
      </c>
      <c r="J190" s="4" t="s">
        <v>356</v>
      </c>
      <c r="K190" s="5">
        <v>6</v>
      </c>
      <c r="L190" s="4" t="s">
        <v>357</v>
      </c>
      <c r="M190" s="6">
        <f t="shared" si="12"/>
        <v>17</v>
      </c>
      <c r="N190" s="7">
        <f t="shared" si="13"/>
        <v>0.24390243902439</v>
      </c>
      <c r="O190" s="7">
        <f t="shared" si="14"/>
        <v>0.25</v>
      </c>
      <c r="P190" s="7">
        <f t="shared" si="15"/>
        <v>1</v>
      </c>
      <c r="Q190" s="37" t="s">
        <v>21</v>
      </c>
    </row>
    <row r="191" s="1" customFormat="1" spans="1:17">
      <c r="A191" s="49">
        <v>44750</v>
      </c>
      <c r="B191" s="40">
        <v>2554</v>
      </c>
      <c r="C191" s="41">
        <v>2065</v>
      </c>
      <c r="D191" s="41">
        <v>72</v>
      </c>
      <c r="E191" s="41">
        <v>10</v>
      </c>
      <c r="F191" s="41">
        <v>29</v>
      </c>
      <c r="G191" s="41">
        <v>47</v>
      </c>
      <c r="H191" s="50">
        <v>10</v>
      </c>
      <c r="I191" s="4">
        <v>6</v>
      </c>
      <c r="J191" s="4" t="s">
        <v>358</v>
      </c>
      <c r="K191" s="5">
        <v>3</v>
      </c>
      <c r="L191" s="4" t="s">
        <v>359</v>
      </c>
      <c r="M191" s="6">
        <f t="shared" si="12"/>
        <v>19</v>
      </c>
      <c r="N191" s="7">
        <f t="shared" si="13"/>
        <v>0.163934426229508</v>
      </c>
      <c r="O191" s="7">
        <f t="shared" si="14"/>
        <v>0.6</v>
      </c>
      <c r="P191" s="7">
        <f t="shared" si="15"/>
        <v>0.428571428571429</v>
      </c>
      <c r="Q191" s="38" t="s">
        <v>23</v>
      </c>
    </row>
    <row r="192" s="1" customFormat="1" spans="1:17">
      <c r="A192" s="49">
        <v>44753</v>
      </c>
      <c r="B192" s="41">
        <v>1432</v>
      </c>
      <c r="C192" s="51">
        <v>3257</v>
      </c>
      <c r="D192" s="41">
        <v>66</v>
      </c>
      <c r="E192" s="41">
        <v>17</v>
      </c>
      <c r="F192" s="41">
        <v>25</v>
      </c>
      <c r="G192" s="41">
        <v>42</v>
      </c>
      <c r="H192" s="41">
        <v>8</v>
      </c>
      <c r="I192" s="4">
        <v>3</v>
      </c>
      <c r="J192" s="4" t="s">
        <v>360</v>
      </c>
      <c r="K192" s="5">
        <v>4</v>
      </c>
      <c r="L192" s="4" t="s">
        <v>361</v>
      </c>
      <c r="M192" s="6">
        <f t="shared" si="12"/>
        <v>15</v>
      </c>
      <c r="N192" s="7">
        <f t="shared" si="13"/>
        <v>0.170212765957447</v>
      </c>
      <c r="O192" s="7">
        <f t="shared" si="14"/>
        <v>0.3</v>
      </c>
      <c r="P192" s="7">
        <f t="shared" si="15"/>
        <v>0.444444444444444</v>
      </c>
      <c r="Q192" s="37" t="s">
        <v>21</v>
      </c>
    </row>
    <row r="193" s="1" customFormat="1" spans="1:17">
      <c r="A193" s="17">
        <v>44754</v>
      </c>
      <c r="B193" s="41">
        <v>1014</v>
      </c>
      <c r="C193" s="52">
        <v>3701</v>
      </c>
      <c r="D193" s="2">
        <v>54</v>
      </c>
      <c r="E193" s="3">
        <v>18</v>
      </c>
      <c r="F193" s="1">
        <v>36</v>
      </c>
      <c r="G193" s="1">
        <v>29</v>
      </c>
      <c r="H193" s="1">
        <v>7</v>
      </c>
      <c r="I193" s="4">
        <v>3</v>
      </c>
      <c r="J193" s="4" t="s">
        <v>362</v>
      </c>
      <c r="K193" s="5">
        <v>5</v>
      </c>
      <c r="L193" s="4" t="s">
        <v>363</v>
      </c>
      <c r="M193" s="6">
        <f t="shared" si="12"/>
        <v>15</v>
      </c>
      <c r="N193" s="7">
        <f t="shared" si="13"/>
        <v>0.166666666666667</v>
      </c>
      <c r="O193" s="7">
        <f t="shared" si="14"/>
        <v>0.375</v>
      </c>
      <c r="P193" s="7">
        <f t="shared" si="15"/>
        <v>0.714285714285714</v>
      </c>
      <c r="Q193" s="37" t="s">
        <v>21</v>
      </c>
    </row>
    <row r="194" s="1" customFormat="1" ht="27" spans="1:17">
      <c r="A194" s="49">
        <v>44755</v>
      </c>
      <c r="B194" s="40">
        <v>3388</v>
      </c>
      <c r="C194" s="41">
        <v>1287</v>
      </c>
      <c r="D194" s="41">
        <v>107</v>
      </c>
      <c r="E194" s="41">
        <v>9</v>
      </c>
      <c r="F194" s="41">
        <v>21</v>
      </c>
      <c r="G194" s="41">
        <v>67</v>
      </c>
      <c r="H194" s="41">
        <v>12</v>
      </c>
      <c r="I194" s="4">
        <v>3</v>
      </c>
      <c r="J194" s="4" t="s">
        <v>364</v>
      </c>
      <c r="K194" s="5">
        <v>6</v>
      </c>
      <c r="L194" s="4" t="s">
        <v>365</v>
      </c>
      <c r="M194" s="6">
        <f t="shared" si="12"/>
        <v>21</v>
      </c>
      <c r="N194" s="7">
        <f t="shared" si="13"/>
        <v>0.413793103448276</v>
      </c>
      <c r="O194" s="7">
        <f t="shared" si="14"/>
        <v>0.428571428571429</v>
      </c>
      <c r="P194" s="7">
        <f t="shared" si="15"/>
        <v>0.75</v>
      </c>
      <c r="Q194" s="37" t="s">
        <v>21</v>
      </c>
    </row>
    <row r="195" s="1" customFormat="1" spans="1:17">
      <c r="A195" s="17">
        <v>44756</v>
      </c>
      <c r="B195" s="18">
        <v>2601</v>
      </c>
      <c r="C195" s="1">
        <v>2087</v>
      </c>
      <c r="D195" s="2">
        <v>78</v>
      </c>
      <c r="E195" s="3">
        <v>15</v>
      </c>
      <c r="F195" s="1">
        <v>25</v>
      </c>
      <c r="G195" s="1">
        <v>54</v>
      </c>
      <c r="H195" s="1">
        <v>9</v>
      </c>
      <c r="I195" s="4">
        <v>3</v>
      </c>
      <c r="J195" s="4" t="s">
        <v>366</v>
      </c>
      <c r="K195" s="5">
        <v>2</v>
      </c>
      <c r="L195" s="4" t="s">
        <v>367</v>
      </c>
      <c r="M195" s="6">
        <f t="shared" si="12"/>
        <v>14</v>
      </c>
      <c r="N195" s="7">
        <f t="shared" si="13"/>
        <v>0.134328358208955</v>
      </c>
      <c r="O195" s="7">
        <f t="shared" si="14"/>
        <v>0.25</v>
      </c>
      <c r="P195" s="7">
        <f t="shared" si="15"/>
        <v>0.222222222222222</v>
      </c>
      <c r="Q195" s="38" t="s">
        <v>23</v>
      </c>
    </row>
    <row r="196" s="1" customFormat="1" spans="1:17">
      <c r="A196" s="49">
        <v>44757</v>
      </c>
      <c r="B196" s="41">
        <v>1010</v>
      </c>
      <c r="C196" s="51">
        <v>3779</v>
      </c>
      <c r="D196" s="41">
        <v>63</v>
      </c>
      <c r="E196" s="41">
        <v>52</v>
      </c>
      <c r="F196" s="41">
        <v>31</v>
      </c>
      <c r="G196" s="41">
        <v>42</v>
      </c>
      <c r="H196" s="50">
        <v>6</v>
      </c>
      <c r="I196" s="4">
        <v>5</v>
      </c>
      <c r="J196" s="4" t="s">
        <v>368</v>
      </c>
      <c r="K196" s="5">
        <v>3</v>
      </c>
      <c r="L196" s="4" t="s">
        <v>369</v>
      </c>
      <c r="M196" s="6">
        <f t="shared" si="12"/>
        <v>14</v>
      </c>
      <c r="N196" s="7">
        <f t="shared" si="13"/>
        <v>0.111111111111111</v>
      </c>
      <c r="O196" s="7">
        <f t="shared" si="14"/>
        <v>0.555555555555556</v>
      </c>
      <c r="P196" s="7">
        <f t="shared" si="15"/>
        <v>0.6</v>
      </c>
      <c r="Q196" s="37" t="s">
        <v>21</v>
      </c>
    </row>
    <row r="197" s="1" customFormat="1" spans="1:17">
      <c r="A197" s="49">
        <v>44760</v>
      </c>
      <c r="B197" s="40">
        <v>4111</v>
      </c>
      <c r="C197" s="41">
        <v>668</v>
      </c>
      <c r="D197" s="41">
        <v>131</v>
      </c>
      <c r="E197" s="41">
        <v>2</v>
      </c>
      <c r="F197" s="41">
        <v>19</v>
      </c>
      <c r="G197" s="41">
        <v>96</v>
      </c>
      <c r="H197" s="50">
        <v>18</v>
      </c>
      <c r="I197" s="4">
        <v>3</v>
      </c>
      <c r="J197" s="4" t="s">
        <v>370</v>
      </c>
      <c r="K197" s="5">
        <v>3</v>
      </c>
      <c r="L197" s="4" t="s">
        <v>371</v>
      </c>
      <c r="M197" s="6">
        <f t="shared" si="12"/>
        <v>24</v>
      </c>
      <c r="N197" s="7">
        <f t="shared" si="13"/>
        <v>0.428571428571429</v>
      </c>
      <c r="O197" s="7">
        <f t="shared" si="14"/>
        <v>0.5</v>
      </c>
      <c r="P197" s="7">
        <f t="shared" si="15"/>
        <v>0.375</v>
      </c>
      <c r="Q197" s="37" t="s">
        <v>21</v>
      </c>
    </row>
    <row r="198" s="1" customFormat="1" spans="1:17">
      <c r="A198" s="49">
        <v>44761</v>
      </c>
      <c r="B198" s="40">
        <v>3307</v>
      </c>
      <c r="C198" s="41">
        <v>1379</v>
      </c>
      <c r="D198" s="41">
        <v>99</v>
      </c>
      <c r="E198" s="41">
        <v>5</v>
      </c>
      <c r="F198" s="41">
        <v>21</v>
      </c>
      <c r="G198" s="41">
        <v>60</v>
      </c>
      <c r="H198" s="50">
        <v>15</v>
      </c>
      <c r="I198" s="4">
        <v>3</v>
      </c>
      <c r="J198" s="4" t="s">
        <v>372</v>
      </c>
      <c r="K198" s="5">
        <v>3</v>
      </c>
      <c r="L198" s="4" t="s">
        <v>373</v>
      </c>
      <c r="M198" s="6">
        <f t="shared" si="12"/>
        <v>21</v>
      </c>
      <c r="N198" s="7">
        <f t="shared" si="13"/>
        <v>0.15625</v>
      </c>
      <c r="O198" s="7">
        <f t="shared" si="14"/>
        <v>0.166666666666667</v>
      </c>
      <c r="P198" s="7">
        <f t="shared" si="15"/>
        <v>0.5</v>
      </c>
      <c r="Q198" s="37" t="s">
        <v>21</v>
      </c>
    </row>
    <row r="199" s="1" customFormat="1" spans="1:17">
      <c r="A199" s="17">
        <v>44762</v>
      </c>
      <c r="B199" s="18">
        <v>3126</v>
      </c>
      <c r="C199" s="1">
        <v>1492</v>
      </c>
      <c r="D199" s="2">
        <v>104</v>
      </c>
      <c r="E199" s="3">
        <v>7</v>
      </c>
      <c r="F199" s="1">
        <v>22</v>
      </c>
      <c r="G199" s="1">
        <v>63</v>
      </c>
      <c r="H199" s="1">
        <v>14</v>
      </c>
      <c r="I199" s="4">
        <v>7</v>
      </c>
      <c r="J199" s="4" t="s">
        <v>374</v>
      </c>
      <c r="K199" s="5">
        <v>1</v>
      </c>
      <c r="L199" s="4" t="s">
        <v>375</v>
      </c>
      <c r="M199" s="6">
        <f t="shared" si="12"/>
        <v>22</v>
      </c>
      <c r="N199" s="7">
        <f t="shared" si="13"/>
        <v>0.233333333333333</v>
      </c>
      <c r="O199" s="7">
        <f t="shared" si="14"/>
        <v>0.466666666666667</v>
      </c>
      <c r="P199" s="7">
        <f t="shared" si="15"/>
        <v>0.166666666666667</v>
      </c>
      <c r="Q199" s="38" t="s">
        <v>23</v>
      </c>
    </row>
    <row r="200" s="1" customFormat="1" spans="1:17">
      <c r="A200" s="49">
        <v>44763</v>
      </c>
      <c r="B200" s="41">
        <v>1594</v>
      </c>
      <c r="C200" s="51">
        <v>3071</v>
      </c>
      <c r="D200" s="41">
        <v>81</v>
      </c>
      <c r="E200" s="41">
        <v>2</v>
      </c>
      <c r="F200" s="41">
        <v>35</v>
      </c>
      <c r="G200" s="41">
        <v>48</v>
      </c>
      <c r="H200" s="50">
        <v>10</v>
      </c>
      <c r="I200" s="4">
        <v>2</v>
      </c>
      <c r="J200" s="4" t="s">
        <v>376</v>
      </c>
      <c r="K200" s="5">
        <v>4</v>
      </c>
      <c r="L200" s="4" t="s">
        <v>377</v>
      </c>
      <c r="M200" s="6">
        <f t="shared" ref="M200:M242" si="16">H200+I200+K200</f>
        <v>16</v>
      </c>
      <c r="N200" s="7">
        <f t="shared" si="13"/>
        <v>0.158730158730159</v>
      </c>
      <c r="O200" s="7">
        <f t="shared" si="14"/>
        <v>0.142857142857143</v>
      </c>
      <c r="P200" s="7">
        <f t="shared" si="15"/>
        <v>0.5</v>
      </c>
      <c r="Q200" s="37" t="s">
        <v>21</v>
      </c>
    </row>
    <row r="201" s="1" customFormat="1" spans="1:17">
      <c r="A201" s="49">
        <v>44764</v>
      </c>
      <c r="B201" s="41">
        <v>1891</v>
      </c>
      <c r="C201" s="51">
        <v>2763</v>
      </c>
      <c r="D201" s="41">
        <v>72</v>
      </c>
      <c r="E201" s="41">
        <v>8</v>
      </c>
      <c r="F201" s="41">
        <v>23</v>
      </c>
      <c r="G201" s="41">
        <v>41</v>
      </c>
      <c r="H201" s="1">
        <v>8</v>
      </c>
      <c r="I201" s="4">
        <v>2</v>
      </c>
      <c r="J201" s="4" t="s">
        <v>378</v>
      </c>
      <c r="K201" s="5">
        <v>1</v>
      </c>
      <c r="L201" s="4" t="s">
        <v>379</v>
      </c>
      <c r="M201" s="6">
        <f t="shared" si="16"/>
        <v>11</v>
      </c>
      <c r="N201" s="7">
        <f t="shared" ref="N201:N242" si="17">H201/G200</f>
        <v>0.166666666666667</v>
      </c>
      <c r="O201" s="7">
        <f t="shared" si="14"/>
        <v>0.2</v>
      </c>
      <c r="P201" s="7">
        <f t="shared" si="15"/>
        <v>0.166666666666667</v>
      </c>
      <c r="Q201" s="38" t="s">
        <v>23</v>
      </c>
    </row>
    <row r="202" s="1" customFormat="1" spans="1:17">
      <c r="A202" s="49">
        <v>44767</v>
      </c>
      <c r="B202" s="41">
        <v>1479</v>
      </c>
      <c r="C202" s="51">
        <v>3235</v>
      </c>
      <c r="D202" s="41">
        <v>66</v>
      </c>
      <c r="E202" s="41">
        <v>21</v>
      </c>
      <c r="F202" s="41">
        <v>29</v>
      </c>
      <c r="G202" s="41">
        <v>31</v>
      </c>
      <c r="H202" s="50">
        <v>5</v>
      </c>
      <c r="I202" s="4">
        <v>4</v>
      </c>
      <c r="J202" s="4" t="s">
        <v>380</v>
      </c>
      <c r="K202" s="5">
        <v>0</v>
      </c>
      <c r="L202" s="4"/>
      <c r="M202" s="6">
        <f t="shared" si="16"/>
        <v>9</v>
      </c>
      <c r="N202" s="7">
        <f t="shared" si="17"/>
        <v>0.121951219512195</v>
      </c>
      <c r="O202" s="7">
        <f t="shared" si="14"/>
        <v>0.5</v>
      </c>
      <c r="P202" s="7">
        <f t="shared" si="15"/>
        <v>0</v>
      </c>
      <c r="Q202" s="38" t="s">
        <v>23</v>
      </c>
    </row>
    <row r="203" s="1" customFormat="1" spans="1:17">
      <c r="A203" s="49">
        <v>44768</v>
      </c>
      <c r="B203" s="40">
        <v>3555</v>
      </c>
      <c r="C203" s="41">
        <v>1145</v>
      </c>
      <c r="D203" s="41">
        <v>93</v>
      </c>
      <c r="E203" s="41">
        <v>7</v>
      </c>
      <c r="F203" s="41">
        <v>21</v>
      </c>
      <c r="G203" s="41">
        <v>49</v>
      </c>
      <c r="H203" s="50">
        <v>6</v>
      </c>
      <c r="I203" s="4">
        <v>2</v>
      </c>
      <c r="J203" s="4" t="s">
        <v>381</v>
      </c>
      <c r="K203" s="5">
        <v>3</v>
      </c>
      <c r="L203" s="4" t="s">
        <v>382</v>
      </c>
      <c r="M203" s="6">
        <f t="shared" si="16"/>
        <v>11</v>
      </c>
      <c r="N203" s="7">
        <f t="shared" si="17"/>
        <v>0.193548387096774</v>
      </c>
      <c r="O203" s="7">
        <f t="shared" si="14"/>
        <v>0.4</v>
      </c>
      <c r="P203" s="7">
        <f t="shared" si="15"/>
        <v>0.75</v>
      </c>
      <c r="Q203" s="37" t="s">
        <v>21</v>
      </c>
    </row>
    <row r="204" s="1" customFormat="1" spans="1:17">
      <c r="A204" s="49">
        <v>44769</v>
      </c>
      <c r="B204" s="40">
        <v>2818</v>
      </c>
      <c r="C204" s="41">
        <v>1828</v>
      </c>
      <c r="D204" s="41">
        <v>98</v>
      </c>
      <c r="E204" s="41">
        <v>7</v>
      </c>
      <c r="F204" s="41">
        <v>27</v>
      </c>
      <c r="G204" s="41">
        <v>68</v>
      </c>
      <c r="H204" s="50">
        <v>12</v>
      </c>
      <c r="I204" s="4">
        <v>1</v>
      </c>
      <c r="J204" s="4" t="s">
        <v>383</v>
      </c>
      <c r="K204" s="5">
        <v>3</v>
      </c>
      <c r="L204" s="4" t="s">
        <v>384</v>
      </c>
      <c r="M204" s="6">
        <f t="shared" si="16"/>
        <v>16</v>
      </c>
      <c r="N204" s="7">
        <f t="shared" si="17"/>
        <v>0.244897959183673</v>
      </c>
      <c r="O204" s="7">
        <f t="shared" si="14"/>
        <v>0.166666666666667</v>
      </c>
      <c r="P204" s="7">
        <f t="shared" si="15"/>
        <v>0.6</v>
      </c>
      <c r="Q204" s="38" t="s">
        <v>23</v>
      </c>
    </row>
    <row r="205" s="1" customFormat="1" spans="1:17">
      <c r="A205" s="49">
        <v>44770</v>
      </c>
      <c r="B205" s="40">
        <v>2913</v>
      </c>
      <c r="C205" s="41">
        <v>1705</v>
      </c>
      <c r="D205" s="41">
        <v>99</v>
      </c>
      <c r="E205" s="41">
        <v>3</v>
      </c>
      <c r="F205" s="41">
        <v>20</v>
      </c>
      <c r="G205" s="41">
        <v>55</v>
      </c>
      <c r="H205" s="50">
        <v>16</v>
      </c>
      <c r="I205" s="4">
        <v>5</v>
      </c>
      <c r="J205" s="4" t="s">
        <v>385</v>
      </c>
      <c r="K205" s="5">
        <v>4</v>
      </c>
      <c r="L205" s="4" t="s">
        <v>386</v>
      </c>
      <c r="M205" s="6">
        <f t="shared" si="16"/>
        <v>25</v>
      </c>
      <c r="N205" s="7">
        <f t="shared" si="17"/>
        <v>0.235294117647059</v>
      </c>
      <c r="O205" s="7">
        <f t="shared" si="14"/>
        <v>0.416666666666667</v>
      </c>
      <c r="P205" s="7">
        <f t="shared" si="15"/>
        <v>1</v>
      </c>
      <c r="Q205" s="37" t="s">
        <v>21</v>
      </c>
    </row>
    <row r="206" s="1" customFormat="1" spans="1:17">
      <c r="A206" s="49">
        <v>44771</v>
      </c>
      <c r="B206" s="41">
        <v>1387</v>
      </c>
      <c r="C206" s="51">
        <v>3335</v>
      </c>
      <c r="D206" s="41">
        <v>66</v>
      </c>
      <c r="E206" s="41">
        <v>13</v>
      </c>
      <c r="F206" s="41">
        <v>34</v>
      </c>
      <c r="G206" s="1">
        <v>41</v>
      </c>
      <c r="H206" s="1">
        <v>8</v>
      </c>
      <c r="I206" s="4">
        <v>5</v>
      </c>
      <c r="J206" s="4" t="s">
        <v>387</v>
      </c>
      <c r="K206" s="5">
        <v>5</v>
      </c>
      <c r="L206" s="4" t="s">
        <v>388</v>
      </c>
      <c r="M206" s="6">
        <f t="shared" si="16"/>
        <v>18</v>
      </c>
      <c r="N206" s="7">
        <f t="shared" si="17"/>
        <v>0.145454545454545</v>
      </c>
      <c r="O206" s="7">
        <f t="shared" si="14"/>
        <v>0.3125</v>
      </c>
      <c r="P206" s="7">
        <f t="shared" si="15"/>
        <v>0.555555555555556</v>
      </c>
      <c r="Q206" s="38" t="s">
        <v>23</v>
      </c>
    </row>
    <row r="207" s="1" customFormat="1" ht="27" spans="1:17">
      <c r="A207" s="17">
        <v>44774</v>
      </c>
      <c r="B207" s="18">
        <v>2541</v>
      </c>
      <c r="C207" s="1">
        <v>2135</v>
      </c>
      <c r="D207" s="2">
        <v>101</v>
      </c>
      <c r="E207" s="3">
        <v>9</v>
      </c>
      <c r="F207" s="1">
        <v>15</v>
      </c>
      <c r="G207" s="1">
        <v>66</v>
      </c>
      <c r="H207" s="1">
        <v>7</v>
      </c>
      <c r="I207" s="4">
        <v>5</v>
      </c>
      <c r="J207" s="4" t="s">
        <v>389</v>
      </c>
      <c r="K207" s="5">
        <v>6</v>
      </c>
      <c r="L207" s="4" t="s">
        <v>390</v>
      </c>
      <c r="M207" s="6">
        <f t="shared" si="16"/>
        <v>18</v>
      </c>
      <c r="N207" s="7">
        <f t="shared" si="17"/>
        <v>0.170731707317073</v>
      </c>
      <c r="O207" s="7">
        <f t="shared" si="14"/>
        <v>0.625</v>
      </c>
      <c r="P207" s="7">
        <f t="shared" si="15"/>
        <v>0.6</v>
      </c>
      <c r="Q207" s="37" t="s">
        <v>21</v>
      </c>
    </row>
    <row r="208" s="1" customFormat="1" spans="1:17">
      <c r="A208" s="17">
        <v>44775</v>
      </c>
      <c r="B208" s="1">
        <v>403</v>
      </c>
      <c r="C208" s="21">
        <v>4431</v>
      </c>
      <c r="D208" s="2">
        <v>53</v>
      </c>
      <c r="E208" s="3">
        <v>84</v>
      </c>
      <c r="F208" s="1">
        <v>18</v>
      </c>
      <c r="G208" s="1">
        <v>26</v>
      </c>
      <c r="H208" s="1">
        <v>12</v>
      </c>
      <c r="I208" s="4">
        <v>2</v>
      </c>
      <c r="J208" s="4" t="s">
        <v>391</v>
      </c>
      <c r="K208" s="5">
        <v>5</v>
      </c>
      <c r="L208" s="4" t="s">
        <v>392</v>
      </c>
      <c r="M208" s="6">
        <f t="shared" si="16"/>
        <v>19</v>
      </c>
      <c r="N208" s="7">
        <f t="shared" si="17"/>
        <v>0.181818181818182</v>
      </c>
      <c r="O208" s="7">
        <f t="shared" si="14"/>
        <v>0.285714285714286</v>
      </c>
      <c r="P208" s="7">
        <f t="shared" si="15"/>
        <v>0.454545454545455</v>
      </c>
      <c r="Q208" s="38" t="s">
        <v>23</v>
      </c>
    </row>
    <row r="209" s="1" customFormat="1" spans="1:17">
      <c r="A209" s="17">
        <v>44776</v>
      </c>
      <c r="B209" s="1">
        <v>1726</v>
      </c>
      <c r="C209" s="21">
        <v>2998</v>
      </c>
      <c r="D209" s="2">
        <v>48</v>
      </c>
      <c r="E209" s="3">
        <v>29</v>
      </c>
      <c r="F209" s="1">
        <v>63</v>
      </c>
      <c r="G209" s="1">
        <v>29</v>
      </c>
      <c r="H209" s="1">
        <v>5</v>
      </c>
      <c r="I209" s="4">
        <v>3</v>
      </c>
      <c r="J209" s="4" t="s">
        <v>393</v>
      </c>
      <c r="K209" s="5">
        <v>1</v>
      </c>
      <c r="L209" s="4" t="s">
        <v>394</v>
      </c>
      <c r="M209" s="6">
        <f t="shared" si="16"/>
        <v>9</v>
      </c>
      <c r="N209" s="7">
        <f t="shared" si="17"/>
        <v>0.192307692307692</v>
      </c>
      <c r="O209" s="7">
        <f t="shared" si="14"/>
        <v>0.25</v>
      </c>
      <c r="P209" s="7">
        <f t="shared" si="15"/>
        <v>0.142857142857143</v>
      </c>
      <c r="Q209" s="38" t="s">
        <v>23</v>
      </c>
    </row>
    <row r="210" s="1" customFormat="1" spans="1:17">
      <c r="A210" s="17">
        <v>44777</v>
      </c>
      <c r="B210" s="18">
        <v>3788</v>
      </c>
      <c r="C210" s="1">
        <v>969</v>
      </c>
      <c r="D210" s="2">
        <v>87</v>
      </c>
      <c r="E210" s="3">
        <v>10</v>
      </c>
      <c r="F210" s="1">
        <v>20</v>
      </c>
      <c r="G210" s="1">
        <v>54</v>
      </c>
      <c r="H210" s="1">
        <v>5</v>
      </c>
      <c r="I210" s="4">
        <v>1</v>
      </c>
      <c r="J210" s="4" t="s">
        <v>395</v>
      </c>
      <c r="K210" s="5">
        <v>2</v>
      </c>
      <c r="L210" s="4" t="s">
        <v>396</v>
      </c>
      <c r="M210" s="6">
        <f t="shared" si="16"/>
        <v>8</v>
      </c>
      <c r="N210" s="7">
        <f t="shared" si="17"/>
        <v>0.172413793103448</v>
      </c>
      <c r="O210" s="7">
        <f t="shared" si="14"/>
        <v>0.2</v>
      </c>
      <c r="P210" s="7">
        <f t="shared" si="15"/>
        <v>0.5</v>
      </c>
      <c r="Q210" s="37" t="s">
        <v>21</v>
      </c>
    </row>
    <row r="211" s="1" customFormat="1" spans="1:17">
      <c r="A211" s="49">
        <v>44778</v>
      </c>
      <c r="B211" s="40">
        <v>3474</v>
      </c>
      <c r="C211" s="41">
        <v>1266</v>
      </c>
      <c r="D211" s="41">
        <v>67</v>
      </c>
      <c r="E211" s="41">
        <v>19</v>
      </c>
      <c r="F211" s="41">
        <v>28</v>
      </c>
      <c r="G211" s="41">
        <v>51</v>
      </c>
      <c r="H211" s="1">
        <v>5</v>
      </c>
      <c r="I211" s="4">
        <v>1</v>
      </c>
      <c r="J211" s="4" t="s">
        <v>397</v>
      </c>
      <c r="K211" s="5">
        <v>2</v>
      </c>
      <c r="L211" s="4" t="s">
        <v>398</v>
      </c>
      <c r="M211" s="6">
        <f t="shared" si="16"/>
        <v>8</v>
      </c>
      <c r="N211" s="7">
        <f t="shared" si="17"/>
        <v>0.0925925925925926</v>
      </c>
      <c r="O211" s="7">
        <f t="shared" si="14"/>
        <v>0.2</v>
      </c>
      <c r="P211" s="7">
        <f t="shared" si="15"/>
        <v>0.666666666666667</v>
      </c>
      <c r="Q211" s="37" t="s">
        <v>21</v>
      </c>
    </row>
    <row r="212" s="1" customFormat="1" spans="1:17">
      <c r="A212" s="49">
        <v>44781</v>
      </c>
      <c r="B212" s="40">
        <v>3506</v>
      </c>
      <c r="C212" s="41">
        <v>1171</v>
      </c>
      <c r="D212" s="41">
        <v>118</v>
      </c>
      <c r="E212" s="41">
        <v>3</v>
      </c>
      <c r="F212" s="41">
        <v>15</v>
      </c>
      <c r="G212" s="41">
        <v>87</v>
      </c>
      <c r="H212" s="50">
        <v>10</v>
      </c>
      <c r="I212" s="4">
        <v>3</v>
      </c>
      <c r="J212" s="1" t="s">
        <v>399</v>
      </c>
      <c r="K212" s="5">
        <v>1</v>
      </c>
      <c r="L212" s="4" t="s">
        <v>400</v>
      </c>
      <c r="M212" s="6">
        <f t="shared" si="16"/>
        <v>14</v>
      </c>
      <c r="N212" s="7">
        <f t="shared" si="17"/>
        <v>0.196078431372549</v>
      </c>
      <c r="O212" s="7">
        <f t="shared" si="14"/>
        <v>0.6</v>
      </c>
      <c r="P212" s="7">
        <f t="shared" si="15"/>
        <v>0.333333333333333</v>
      </c>
      <c r="Q212" s="38" t="s">
        <v>23</v>
      </c>
    </row>
    <row r="213" s="1" customFormat="1" spans="1:17">
      <c r="A213" s="17">
        <v>44782</v>
      </c>
      <c r="B213" s="1">
        <v>2186</v>
      </c>
      <c r="C213" s="1">
        <v>2472</v>
      </c>
      <c r="D213" s="2">
        <v>88</v>
      </c>
      <c r="E213" s="3">
        <v>1</v>
      </c>
      <c r="F213" s="1">
        <v>25</v>
      </c>
      <c r="G213" s="1">
        <v>51</v>
      </c>
      <c r="H213" s="1">
        <v>12</v>
      </c>
      <c r="I213" s="4">
        <v>3</v>
      </c>
      <c r="J213" s="4" t="s">
        <v>401</v>
      </c>
      <c r="K213" s="5">
        <v>2</v>
      </c>
      <c r="L213" s="4" t="s">
        <v>402</v>
      </c>
      <c r="M213" s="6">
        <f t="shared" si="16"/>
        <v>17</v>
      </c>
      <c r="N213" s="7">
        <f t="shared" si="17"/>
        <v>0.137931034482759</v>
      </c>
      <c r="O213" s="7">
        <f t="shared" si="14"/>
        <v>0.3</v>
      </c>
      <c r="P213" s="7">
        <f t="shared" si="15"/>
        <v>0.5</v>
      </c>
      <c r="Q213" s="37" t="s">
        <v>21</v>
      </c>
    </row>
    <row r="214" s="1" customFormat="1" spans="1:17">
      <c r="A214" s="49">
        <v>44783</v>
      </c>
      <c r="B214" s="41">
        <v>2264</v>
      </c>
      <c r="C214" s="41">
        <v>2424</v>
      </c>
      <c r="D214" s="41">
        <v>87</v>
      </c>
      <c r="E214" s="41">
        <v>4</v>
      </c>
      <c r="F214" s="41">
        <v>25</v>
      </c>
      <c r="G214" s="41">
        <v>64</v>
      </c>
      <c r="H214" s="50">
        <v>7</v>
      </c>
      <c r="I214" s="4">
        <v>1</v>
      </c>
      <c r="J214" s="4" t="s">
        <v>403</v>
      </c>
      <c r="K214" s="5">
        <v>2</v>
      </c>
      <c r="L214" s="4" t="s">
        <v>404</v>
      </c>
      <c r="M214" s="6">
        <f t="shared" si="16"/>
        <v>10</v>
      </c>
      <c r="N214" s="7">
        <f t="shared" si="17"/>
        <v>0.137254901960784</v>
      </c>
      <c r="O214" s="7">
        <f t="shared" ref="O214:O242" si="18">I214/H213</f>
        <v>0.0833333333333333</v>
      </c>
      <c r="P214" s="7">
        <f t="shared" si="15"/>
        <v>0.4</v>
      </c>
      <c r="Q214" s="38" t="s">
        <v>23</v>
      </c>
    </row>
    <row r="215" s="1" customFormat="1" spans="1:17">
      <c r="A215" s="17">
        <v>44784</v>
      </c>
      <c r="B215" s="18">
        <v>3685</v>
      </c>
      <c r="C215" s="1">
        <v>1082</v>
      </c>
      <c r="D215" s="2">
        <v>81</v>
      </c>
      <c r="E215" s="3">
        <v>8</v>
      </c>
      <c r="F215" s="1">
        <v>30</v>
      </c>
      <c r="G215" s="1">
        <v>54</v>
      </c>
      <c r="H215" s="1">
        <v>11</v>
      </c>
      <c r="I215" s="4">
        <v>4</v>
      </c>
      <c r="J215" s="4" t="s">
        <v>405</v>
      </c>
      <c r="K215" s="5">
        <v>2</v>
      </c>
      <c r="L215" s="4" t="s">
        <v>406</v>
      </c>
      <c r="M215" s="6">
        <f t="shared" si="16"/>
        <v>17</v>
      </c>
      <c r="N215" s="7">
        <f t="shared" si="17"/>
        <v>0.171875</v>
      </c>
      <c r="O215" s="7">
        <f t="shared" si="18"/>
        <v>0.571428571428571</v>
      </c>
      <c r="P215" s="7">
        <f t="shared" si="15"/>
        <v>0.666666666666667</v>
      </c>
      <c r="Q215" s="37" t="s">
        <v>21</v>
      </c>
    </row>
    <row r="216" s="1" customFormat="1" spans="1:17">
      <c r="A216" s="49">
        <v>44785</v>
      </c>
      <c r="B216" s="41">
        <v>1976</v>
      </c>
      <c r="C216" s="51">
        <v>2711</v>
      </c>
      <c r="D216" s="41">
        <v>65</v>
      </c>
      <c r="E216" s="41">
        <v>11</v>
      </c>
      <c r="F216" s="41">
        <v>29</v>
      </c>
      <c r="G216" s="1">
        <v>43</v>
      </c>
      <c r="H216" s="1">
        <v>6</v>
      </c>
      <c r="I216" s="4">
        <v>5</v>
      </c>
      <c r="J216" s="4" t="s">
        <v>407</v>
      </c>
      <c r="K216" s="5">
        <v>1</v>
      </c>
      <c r="L216" s="4" t="s">
        <v>408</v>
      </c>
      <c r="M216" s="6">
        <f t="shared" si="16"/>
        <v>12</v>
      </c>
      <c r="N216" s="7">
        <f t="shared" si="17"/>
        <v>0.111111111111111</v>
      </c>
      <c r="O216" s="7">
        <f t="shared" si="18"/>
        <v>0.454545454545455</v>
      </c>
      <c r="P216" s="7">
        <f t="shared" ref="P216:P242" si="19">K216/(I215+K215)</f>
        <v>0.166666666666667</v>
      </c>
      <c r="Q216" s="38" t="s">
        <v>23</v>
      </c>
    </row>
    <row r="217" s="1" customFormat="1" spans="1:17">
      <c r="A217" s="49">
        <v>44788</v>
      </c>
      <c r="B217" s="41">
        <v>2289</v>
      </c>
      <c r="C217" s="41">
        <v>2385</v>
      </c>
      <c r="D217" s="41">
        <v>92</v>
      </c>
      <c r="E217" s="41">
        <v>7</v>
      </c>
      <c r="F217" s="41">
        <v>24</v>
      </c>
      <c r="G217" s="1">
        <v>62</v>
      </c>
      <c r="H217" s="1">
        <v>8</v>
      </c>
      <c r="I217" s="4">
        <v>2</v>
      </c>
      <c r="J217" s="4" t="s">
        <v>409</v>
      </c>
      <c r="K217" s="5">
        <v>2</v>
      </c>
      <c r="L217" s="4" t="s">
        <v>410</v>
      </c>
      <c r="M217" s="6">
        <f t="shared" si="16"/>
        <v>12</v>
      </c>
      <c r="N217" s="7">
        <f t="shared" si="17"/>
        <v>0.186046511627907</v>
      </c>
      <c r="O217" s="7">
        <f t="shared" si="18"/>
        <v>0.333333333333333</v>
      </c>
      <c r="P217" s="7">
        <f t="shared" si="19"/>
        <v>0.333333333333333</v>
      </c>
      <c r="Q217" s="37" t="s">
        <v>21</v>
      </c>
    </row>
    <row r="218" s="1" customFormat="1" spans="1:17">
      <c r="A218" s="49">
        <v>44789</v>
      </c>
      <c r="B218" s="40">
        <v>2824</v>
      </c>
      <c r="C218" s="41">
        <v>1858</v>
      </c>
      <c r="D218" s="41">
        <v>94</v>
      </c>
      <c r="E218" s="41">
        <v>1</v>
      </c>
      <c r="F218" s="41">
        <v>29</v>
      </c>
      <c r="G218" s="41">
        <v>59</v>
      </c>
      <c r="H218" s="1">
        <v>12</v>
      </c>
      <c r="I218" s="4">
        <v>2</v>
      </c>
      <c r="J218" s="4" t="s">
        <v>411</v>
      </c>
      <c r="K218" s="5">
        <v>2</v>
      </c>
      <c r="L218" s="4" t="s">
        <v>412</v>
      </c>
      <c r="M218" s="6">
        <f t="shared" si="16"/>
        <v>16</v>
      </c>
      <c r="N218" s="7">
        <f t="shared" si="17"/>
        <v>0.193548387096774</v>
      </c>
      <c r="O218" s="7">
        <f t="shared" si="18"/>
        <v>0.25</v>
      </c>
      <c r="P218" s="7">
        <f t="shared" si="19"/>
        <v>0.5</v>
      </c>
      <c r="Q218" s="37" t="s">
        <v>21</v>
      </c>
    </row>
    <row r="219" s="1" customFormat="1" spans="1:17">
      <c r="A219" s="49">
        <v>44790</v>
      </c>
      <c r="B219" s="40">
        <v>2489</v>
      </c>
      <c r="C219" s="41">
        <v>2180</v>
      </c>
      <c r="D219" s="41">
        <v>83</v>
      </c>
      <c r="E219" s="41">
        <v>4</v>
      </c>
      <c r="F219" s="41">
        <v>28</v>
      </c>
      <c r="G219" s="41">
        <v>49</v>
      </c>
      <c r="H219" s="41">
        <v>9</v>
      </c>
      <c r="I219" s="4">
        <v>3</v>
      </c>
      <c r="J219" s="4" t="s">
        <v>413</v>
      </c>
      <c r="K219" s="5">
        <v>3</v>
      </c>
      <c r="L219" s="4" t="s">
        <v>414</v>
      </c>
      <c r="M219" s="6">
        <f t="shared" si="16"/>
        <v>15</v>
      </c>
      <c r="N219" s="7">
        <f t="shared" si="17"/>
        <v>0.152542372881356</v>
      </c>
      <c r="O219" s="7">
        <f t="shared" si="18"/>
        <v>0.25</v>
      </c>
      <c r="P219" s="7">
        <f t="shared" si="19"/>
        <v>0.75</v>
      </c>
      <c r="Q219" s="37" t="s">
        <v>21</v>
      </c>
    </row>
    <row r="220" s="1" customFormat="1" spans="1:17">
      <c r="A220" s="49">
        <v>44791</v>
      </c>
      <c r="B220" s="41">
        <v>1975</v>
      </c>
      <c r="C220" s="51">
        <v>2798</v>
      </c>
      <c r="D220" s="41">
        <v>86</v>
      </c>
      <c r="E220" s="41">
        <v>6</v>
      </c>
      <c r="F220" s="41">
        <v>25</v>
      </c>
      <c r="G220" s="41">
        <v>66</v>
      </c>
      <c r="H220" s="41">
        <v>9</v>
      </c>
      <c r="I220" s="4">
        <v>3</v>
      </c>
      <c r="J220" s="4" t="s">
        <v>415</v>
      </c>
      <c r="K220" s="5">
        <v>1</v>
      </c>
      <c r="L220" s="4" t="s">
        <v>416</v>
      </c>
      <c r="M220" s="6">
        <f t="shared" si="16"/>
        <v>13</v>
      </c>
      <c r="N220" s="7">
        <f t="shared" si="17"/>
        <v>0.183673469387755</v>
      </c>
      <c r="O220" s="7">
        <f t="shared" si="18"/>
        <v>0.333333333333333</v>
      </c>
      <c r="P220" s="7">
        <f t="shared" si="19"/>
        <v>0.166666666666667</v>
      </c>
      <c r="Q220" s="38" t="s">
        <v>23</v>
      </c>
    </row>
    <row r="221" s="1" customFormat="1" spans="1:17">
      <c r="A221" s="49">
        <v>44792</v>
      </c>
      <c r="B221" s="41">
        <v>1205</v>
      </c>
      <c r="C221" s="51">
        <v>3519</v>
      </c>
      <c r="D221" s="41">
        <v>60</v>
      </c>
      <c r="E221" s="41">
        <v>12</v>
      </c>
      <c r="F221" s="41">
        <v>27</v>
      </c>
      <c r="G221" s="41">
        <v>33</v>
      </c>
      <c r="H221" s="41">
        <v>10</v>
      </c>
      <c r="I221" s="4">
        <v>4</v>
      </c>
      <c r="J221" s="4" t="s">
        <v>417</v>
      </c>
      <c r="K221" s="5">
        <v>1</v>
      </c>
      <c r="L221" s="4" t="s">
        <v>418</v>
      </c>
      <c r="M221" s="6">
        <f t="shared" si="16"/>
        <v>15</v>
      </c>
      <c r="N221" s="7">
        <f t="shared" si="17"/>
        <v>0.151515151515152</v>
      </c>
      <c r="O221" s="7">
        <f t="shared" si="18"/>
        <v>0.444444444444444</v>
      </c>
      <c r="P221" s="7">
        <f t="shared" si="19"/>
        <v>0.25</v>
      </c>
      <c r="Q221" s="38" t="s">
        <v>23</v>
      </c>
    </row>
    <row r="222" s="1" customFormat="1" spans="1:17">
      <c r="A222" s="49">
        <v>44795</v>
      </c>
      <c r="B222" s="40">
        <v>2906</v>
      </c>
      <c r="C222" s="41">
        <v>1810</v>
      </c>
      <c r="D222" s="41">
        <v>84</v>
      </c>
      <c r="E222" s="41">
        <v>12</v>
      </c>
      <c r="F222" s="41">
        <v>26</v>
      </c>
      <c r="G222" s="1">
        <v>52</v>
      </c>
      <c r="H222" s="1">
        <v>5</v>
      </c>
      <c r="I222" s="4">
        <v>3</v>
      </c>
      <c r="J222" s="4" t="s">
        <v>419</v>
      </c>
      <c r="K222" s="5">
        <v>4</v>
      </c>
      <c r="L222" s="4" t="s">
        <v>420</v>
      </c>
      <c r="M222" s="6">
        <f t="shared" si="16"/>
        <v>12</v>
      </c>
      <c r="N222" s="7">
        <f t="shared" si="17"/>
        <v>0.151515151515152</v>
      </c>
      <c r="O222" s="7">
        <f t="shared" si="18"/>
        <v>0.3</v>
      </c>
      <c r="P222" s="7">
        <f t="shared" si="19"/>
        <v>0.8</v>
      </c>
      <c r="Q222" s="37" t="s">
        <v>21</v>
      </c>
    </row>
    <row r="223" s="1" customFormat="1" spans="1:17">
      <c r="A223" s="49">
        <v>44796</v>
      </c>
      <c r="B223" s="41">
        <v>2386</v>
      </c>
      <c r="C223" s="41">
        <v>2314</v>
      </c>
      <c r="D223" s="41">
        <v>77</v>
      </c>
      <c r="E223" s="41">
        <v>5</v>
      </c>
      <c r="F223" s="41">
        <v>31</v>
      </c>
      <c r="G223" s="41">
        <v>54</v>
      </c>
      <c r="H223" s="1">
        <v>8</v>
      </c>
      <c r="I223" s="4">
        <v>1</v>
      </c>
      <c r="J223" s="4" t="s">
        <v>421</v>
      </c>
      <c r="K223" s="5">
        <v>2</v>
      </c>
      <c r="L223" s="4" t="s">
        <v>422</v>
      </c>
      <c r="M223" s="6">
        <f t="shared" si="16"/>
        <v>11</v>
      </c>
      <c r="N223" s="7">
        <f t="shared" si="17"/>
        <v>0.153846153846154</v>
      </c>
      <c r="O223" s="7">
        <f t="shared" si="18"/>
        <v>0.2</v>
      </c>
      <c r="P223" s="7">
        <f t="shared" si="19"/>
        <v>0.285714285714286</v>
      </c>
      <c r="Q223" s="38" t="s">
        <v>23</v>
      </c>
    </row>
    <row r="224" s="1" customFormat="1" spans="1:17">
      <c r="A224" s="17">
        <v>44797</v>
      </c>
      <c r="B224" s="1">
        <v>424</v>
      </c>
      <c r="C224" s="21">
        <v>4421</v>
      </c>
      <c r="D224" s="2">
        <v>37</v>
      </c>
      <c r="E224" s="3">
        <v>36</v>
      </c>
      <c r="F224" s="1">
        <v>42</v>
      </c>
      <c r="G224" s="1">
        <v>18</v>
      </c>
      <c r="H224" s="1">
        <v>7</v>
      </c>
      <c r="I224" s="4">
        <v>3</v>
      </c>
      <c r="J224" s="4" t="s">
        <v>423</v>
      </c>
      <c r="K224" s="5">
        <v>2</v>
      </c>
      <c r="L224" s="4" t="s">
        <v>424</v>
      </c>
      <c r="M224" s="6">
        <f t="shared" si="16"/>
        <v>12</v>
      </c>
      <c r="N224" s="7">
        <f t="shared" si="17"/>
        <v>0.12962962962963</v>
      </c>
      <c r="O224" s="7">
        <f t="shared" si="18"/>
        <v>0.375</v>
      </c>
      <c r="P224" s="7">
        <f t="shared" si="19"/>
        <v>0.666666666666667</v>
      </c>
      <c r="Q224" s="37" t="s">
        <v>21</v>
      </c>
    </row>
    <row r="225" s="1" customFormat="1" spans="1:17">
      <c r="A225" s="17">
        <v>44798</v>
      </c>
      <c r="B225" s="1">
        <v>2074</v>
      </c>
      <c r="C225" s="21">
        <v>2691</v>
      </c>
      <c r="D225" s="2">
        <v>67</v>
      </c>
      <c r="E225" s="3">
        <v>29</v>
      </c>
      <c r="F225" s="1">
        <v>26</v>
      </c>
      <c r="G225" s="1">
        <v>46</v>
      </c>
      <c r="H225" s="1">
        <v>6</v>
      </c>
      <c r="I225" s="4">
        <v>2</v>
      </c>
      <c r="J225" s="4" t="s">
        <v>425</v>
      </c>
      <c r="K225" s="5">
        <v>2</v>
      </c>
      <c r="L225" s="4" t="s">
        <v>426</v>
      </c>
      <c r="M225" s="6">
        <f t="shared" si="16"/>
        <v>10</v>
      </c>
      <c r="N225" s="7">
        <f t="shared" si="17"/>
        <v>0.333333333333333</v>
      </c>
      <c r="O225" s="7">
        <f t="shared" si="18"/>
        <v>0.285714285714286</v>
      </c>
      <c r="P225" s="7">
        <f t="shared" si="19"/>
        <v>0.4</v>
      </c>
      <c r="Q225" s="38" t="s">
        <v>23</v>
      </c>
    </row>
    <row r="226" s="1" customFormat="1" spans="1:17">
      <c r="A226" s="49">
        <v>44799</v>
      </c>
      <c r="B226" s="41">
        <v>1743</v>
      </c>
      <c r="C226" s="51">
        <v>2994</v>
      </c>
      <c r="D226" s="41">
        <v>42</v>
      </c>
      <c r="E226" s="41">
        <v>35</v>
      </c>
      <c r="F226" s="41">
        <v>52</v>
      </c>
      <c r="G226" s="41">
        <v>28</v>
      </c>
      <c r="H226" s="41">
        <v>6</v>
      </c>
      <c r="I226" s="4">
        <v>1</v>
      </c>
      <c r="J226" s="4" t="s">
        <v>427</v>
      </c>
      <c r="K226" s="5">
        <v>1</v>
      </c>
      <c r="L226" s="4" t="s">
        <v>428</v>
      </c>
      <c r="M226" s="6">
        <f t="shared" si="16"/>
        <v>8</v>
      </c>
      <c r="N226" s="7">
        <f t="shared" si="17"/>
        <v>0.130434782608696</v>
      </c>
      <c r="O226" s="7">
        <f t="shared" si="18"/>
        <v>0.166666666666667</v>
      </c>
      <c r="P226" s="7">
        <f t="shared" si="19"/>
        <v>0.25</v>
      </c>
      <c r="Q226" s="38" t="s">
        <v>23</v>
      </c>
    </row>
    <row r="227" s="1" customFormat="1" spans="1:17">
      <c r="A227" s="49">
        <v>44802</v>
      </c>
      <c r="B227" s="40">
        <v>3028</v>
      </c>
      <c r="C227" s="41">
        <v>1709</v>
      </c>
      <c r="D227" s="41">
        <v>67</v>
      </c>
      <c r="E227" s="41">
        <v>10</v>
      </c>
      <c r="F227" s="41">
        <v>26</v>
      </c>
      <c r="G227" s="41">
        <v>50</v>
      </c>
      <c r="H227" s="41">
        <v>6</v>
      </c>
      <c r="I227" s="4">
        <v>2</v>
      </c>
      <c r="J227" s="4" t="s">
        <v>429</v>
      </c>
      <c r="K227" s="5">
        <v>1</v>
      </c>
      <c r="L227" s="4" t="s">
        <v>430</v>
      </c>
      <c r="M227" s="6">
        <f t="shared" si="16"/>
        <v>9</v>
      </c>
      <c r="N227" s="7">
        <f t="shared" si="17"/>
        <v>0.214285714285714</v>
      </c>
      <c r="O227" s="7">
        <f t="shared" si="18"/>
        <v>0.333333333333333</v>
      </c>
      <c r="P227" s="7">
        <f t="shared" si="19"/>
        <v>0.5</v>
      </c>
      <c r="Q227" s="37" t="s">
        <v>21</v>
      </c>
    </row>
    <row r="228" s="1" customFormat="1" spans="1:17">
      <c r="A228" s="49">
        <v>44803</v>
      </c>
      <c r="B228" s="41">
        <v>2213</v>
      </c>
      <c r="C228" s="41">
        <v>2540</v>
      </c>
      <c r="D228" s="41">
        <v>46</v>
      </c>
      <c r="E228" s="41">
        <v>15</v>
      </c>
      <c r="F228" s="41">
        <v>30</v>
      </c>
      <c r="G228" s="1">
        <v>29</v>
      </c>
      <c r="H228" s="1">
        <v>3</v>
      </c>
      <c r="I228" s="4">
        <v>2</v>
      </c>
      <c r="J228" s="4" t="s">
        <v>431</v>
      </c>
      <c r="K228" s="5">
        <v>1</v>
      </c>
      <c r="L228" s="4" t="s">
        <v>432</v>
      </c>
      <c r="M228" s="6">
        <f t="shared" si="16"/>
        <v>6</v>
      </c>
      <c r="N228" s="7">
        <f t="shared" si="17"/>
        <v>0.06</v>
      </c>
      <c r="O228" s="7">
        <f t="shared" si="18"/>
        <v>0.333333333333333</v>
      </c>
      <c r="P228" s="7">
        <f t="shared" si="19"/>
        <v>0.333333333333333</v>
      </c>
      <c r="Q228" s="38" t="s">
        <v>23</v>
      </c>
    </row>
    <row r="229" s="1" customFormat="1" spans="1:17">
      <c r="A229" s="49">
        <v>44804</v>
      </c>
      <c r="B229" s="41">
        <v>695</v>
      </c>
      <c r="C229" s="51">
        <v>4150</v>
      </c>
      <c r="D229" s="41">
        <v>37</v>
      </c>
      <c r="E229" s="41">
        <v>65</v>
      </c>
      <c r="F229" s="41">
        <v>37</v>
      </c>
      <c r="G229" s="41">
        <v>23</v>
      </c>
      <c r="H229" s="1">
        <v>5</v>
      </c>
      <c r="I229" s="4">
        <v>2</v>
      </c>
      <c r="J229" s="4" t="s">
        <v>433</v>
      </c>
      <c r="K229" s="5">
        <v>0</v>
      </c>
      <c r="L229" s="4"/>
      <c r="M229" s="6">
        <f t="shared" si="16"/>
        <v>7</v>
      </c>
      <c r="N229" s="7">
        <f t="shared" si="17"/>
        <v>0.172413793103448</v>
      </c>
      <c r="O229" s="7">
        <f t="shared" si="18"/>
        <v>0.666666666666667</v>
      </c>
      <c r="P229" s="7">
        <f t="shared" si="19"/>
        <v>0</v>
      </c>
      <c r="Q229" s="38" t="s">
        <v>23</v>
      </c>
    </row>
    <row r="230" s="1" customFormat="1" spans="1:17">
      <c r="A230" s="49">
        <v>44805</v>
      </c>
      <c r="B230" s="41">
        <v>1764</v>
      </c>
      <c r="C230" s="51">
        <v>2973</v>
      </c>
      <c r="D230" s="41">
        <v>45</v>
      </c>
      <c r="E230" s="41">
        <v>19</v>
      </c>
      <c r="F230" s="41">
        <v>35</v>
      </c>
      <c r="G230" s="41">
        <v>35</v>
      </c>
      <c r="H230" s="41">
        <v>5</v>
      </c>
      <c r="I230" s="4">
        <v>1</v>
      </c>
      <c r="J230" s="4" t="s">
        <v>434</v>
      </c>
      <c r="K230" s="5">
        <v>1</v>
      </c>
      <c r="L230" s="4" t="s">
        <v>435</v>
      </c>
      <c r="M230" s="6">
        <f t="shared" si="16"/>
        <v>7</v>
      </c>
      <c r="N230" s="7">
        <f t="shared" si="17"/>
        <v>0.217391304347826</v>
      </c>
      <c r="O230" s="7">
        <f t="shared" si="18"/>
        <v>0.2</v>
      </c>
      <c r="P230" s="7">
        <f t="shared" si="19"/>
        <v>0.5</v>
      </c>
      <c r="Q230" s="37" t="s">
        <v>21</v>
      </c>
    </row>
    <row r="231" s="1" customFormat="1" spans="1:17">
      <c r="A231" s="49">
        <v>44806</v>
      </c>
      <c r="B231" s="40">
        <v>3598</v>
      </c>
      <c r="C231" s="41">
        <v>1157</v>
      </c>
      <c r="D231" s="41">
        <v>67</v>
      </c>
      <c r="E231" s="41">
        <v>11</v>
      </c>
      <c r="F231" s="41">
        <v>36</v>
      </c>
      <c r="G231" s="41">
        <v>51</v>
      </c>
      <c r="H231" s="41">
        <v>8</v>
      </c>
      <c r="I231" s="4">
        <v>1</v>
      </c>
      <c r="J231" s="4" t="s">
        <v>436</v>
      </c>
      <c r="K231" s="5">
        <v>1</v>
      </c>
      <c r="L231" s="4" t="s">
        <v>437</v>
      </c>
      <c r="M231" s="6">
        <f t="shared" si="16"/>
        <v>10</v>
      </c>
      <c r="N231" s="7">
        <f t="shared" si="17"/>
        <v>0.228571428571429</v>
      </c>
      <c r="O231" s="7">
        <f t="shared" si="18"/>
        <v>0.2</v>
      </c>
      <c r="P231" s="7">
        <f t="shared" si="19"/>
        <v>0.5</v>
      </c>
      <c r="Q231" s="37" t="s">
        <v>21</v>
      </c>
    </row>
    <row r="232" s="1" customFormat="1" spans="1:17">
      <c r="A232" s="49">
        <v>44809</v>
      </c>
      <c r="B232" s="40">
        <v>2566</v>
      </c>
      <c r="C232" s="41">
        <v>2218</v>
      </c>
      <c r="D232" s="41">
        <v>63</v>
      </c>
      <c r="E232" s="41">
        <v>11</v>
      </c>
      <c r="F232" s="41">
        <v>31</v>
      </c>
      <c r="G232" s="41">
        <v>46</v>
      </c>
      <c r="H232" s="41">
        <v>6</v>
      </c>
      <c r="I232" s="4">
        <v>2</v>
      </c>
      <c r="J232" s="4" t="s">
        <v>438</v>
      </c>
      <c r="K232" s="5">
        <v>0</v>
      </c>
      <c r="L232" s="4"/>
      <c r="M232" s="6">
        <f t="shared" si="16"/>
        <v>8</v>
      </c>
      <c r="N232" s="7">
        <f t="shared" si="17"/>
        <v>0.117647058823529</v>
      </c>
      <c r="O232" s="7">
        <f t="shared" si="18"/>
        <v>0.25</v>
      </c>
      <c r="P232" s="7">
        <f t="shared" si="19"/>
        <v>0</v>
      </c>
      <c r="Q232" s="38" t="s">
        <v>23</v>
      </c>
    </row>
    <row r="233" s="1" customFormat="1" spans="1:17">
      <c r="A233" s="17">
        <v>44810</v>
      </c>
      <c r="B233" s="18">
        <v>3634</v>
      </c>
      <c r="C233" s="1">
        <v>1096</v>
      </c>
      <c r="D233" s="2">
        <v>67</v>
      </c>
      <c r="E233" s="3">
        <v>2</v>
      </c>
      <c r="F233" s="1">
        <v>23</v>
      </c>
      <c r="G233" s="1">
        <v>48</v>
      </c>
      <c r="H233" s="1">
        <v>6</v>
      </c>
      <c r="I233" s="4">
        <v>5</v>
      </c>
      <c r="J233" s="4" t="s">
        <v>439</v>
      </c>
      <c r="K233" s="5">
        <v>2</v>
      </c>
      <c r="L233" s="4" t="s">
        <v>440</v>
      </c>
      <c r="M233" s="6">
        <f t="shared" si="16"/>
        <v>13</v>
      </c>
      <c r="N233" s="7">
        <f t="shared" si="17"/>
        <v>0.130434782608696</v>
      </c>
      <c r="O233" s="7">
        <f t="shared" si="18"/>
        <v>0.833333333333333</v>
      </c>
      <c r="P233" s="7">
        <f t="shared" si="19"/>
        <v>1</v>
      </c>
      <c r="Q233" s="37" t="s">
        <v>21</v>
      </c>
    </row>
    <row r="234" s="1" customFormat="1" spans="1:17">
      <c r="A234" s="49">
        <v>44811</v>
      </c>
      <c r="B234" s="41">
        <v>2304</v>
      </c>
      <c r="C234" s="41">
        <v>2436</v>
      </c>
      <c r="D234" s="41">
        <v>67</v>
      </c>
      <c r="E234" s="41">
        <v>12</v>
      </c>
      <c r="F234" s="41">
        <v>25</v>
      </c>
      <c r="G234" s="41">
        <v>49</v>
      </c>
      <c r="H234" s="1">
        <v>5</v>
      </c>
      <c r="I234" s="4">
        <v>1</v>
      </c>
      <c r="J234" s="4" t="s">
        <v>441</v>
      </c>
      <c r="K234" s="5">
        <v>4</v>
      </c>
      <c r="L234" s="4" t="s">
        <v>442</v>
      </c>
      <c r="M234" s="6">
        <f t="shared" si="16"/>
        <v>10</v>
      </c>
      <c r="N234" s="7">
        <f t="shared" si="17"/>
        <v>0.104166666666667</v>
      </c>
      <c r="O234" s="7">
        <f t="shared" si="18"/>
        <v>0.166666666666667</v>
      </c>
      <c r="P234" s="7">
        <f t="shared" si="19"/>
        <v>0.571428571428571</v>
      </c>
      <c r="Q234" s="38" t="s">
        <v>23</v>
      </c>
    </row>
    <row r="235" s="1" customFormat="1" spans="1:17">
      <c r="A235" s="49">
        <v>44812</v>
      </c>
      <c r="B235" s="41">
        <v>1137</v>
      </c>
      <c r="C235" s="51">
        <v>3630</v>
      </c>
      <c r="D235" s="41">
        <v>48</v>
      </c>
      <c r="E235" s="41">
        <v>7</v>
      </c>
      <c r="F235" s="41">
        <v>28</v>
      </c>
      <c r="G235" s="41">
        <v>30</v>
      </c>
      <c r="H235" s="41">
        <v>8</v>
      </c>
      <c r="I235" s="4">
        <v>1</v>
      </c>
      <c r="J235" s="4" t="s">
        <v>443</v>
      </c>
      <c r="K235" s="5">
        <v>2</v>
      </c>
      <c r="L235" s="4" t="s">
        <v>444</v>
      </c>
      <c r="M235" s="6">
        <f t="shared" si="16"/>
        <v>11</v>
      </c>
      <c r="N235" s="7">
        <f t="shared" si="17"/>
        <v>0.163265306122449</v>
      </c>
      <c r="O235" s="7">
        <f t="shared" si="18"/>
        <v>0.2</v>
      </c>
      <c r="P235" s="7">
        <f t="shared" si="19"/>
        <v>0.4</v>
      </c>
      <c r="Q235" s="38" t="s">
        <v>23</v>
      </c>
    </row>
    <row r="236" s="1" customFormat="1" spans="1:17">
      <c r="A236" s="17">
        <v>44813</v>
      </c>
      <c r="B236" s="1">
        <v>2400</v>
      </c>
      <c r="C236" s="1">
        <v>2331</v>
      </c>
      <c r="D236" s="2">
        <v>49</v>
      </c>
      <c r="E236" s="3">
        <v>9</v>
      </c>
      <c r="F236" s="1">
        <v>27</v>
      </c>
      <c r="G236" s="1">
        <v>28</v>
      </c>
      <c r="H236" s="1">
        <v>4</v>
      </c>
      <c r="I236" s="4">
        <v>1</v>
      </c>
      <c r="J236" s="4" t="s">
        <v>445</v>
      </c>
      <c r="K236" s="5">
        <v>1</v>
      </c>
      <c r="L236" s="4" t="s">
        <v>446</v>
      </c>
      <c r="M236" s="6">
        <f t="shared" si="16"/>
        <v>6</v>
      </c>
      <c r="N236" s="7">
        <f t="shared" si="17"/>
        <v>0.133333333333333</v>
      </c>
      <c r="O236" s="7">
        <f t="shared" si="18"/>
        <v>0.125</v>
      </c>
      <c r="P236" s="7">
        <f t="shared" si="19"/>
        <v>0.333333333333333</v>
      </c>
      <c r="Q236" s="38" t="s">
        <v>23</v>
      </c>
    </row>
    <row r="237" s="1" customFormat="1" spans="1:17">
      <c r="A237" s="49">
        <v>44817</v>
      </c>
      <c r="B237" s="40">
        <v>2576</v>
      </c>
      <c r="C237" s="41">
        <v>2147</v>
      </c>
      <c r="D237" s="41">
        <v>65</v>
      </c>
      <c r="E237" s="41">
        <v>10</v>
      </c>
      <c r="F237" s="41">
        <v>22</v>
      </c>
      <c r="G237" s="41">
        <v>39</v>
      </c>
      <c r="H237" s="41">
        <v>5</v>
      </c>
      <c r="I237" s="4">
        <v>3</v>
      </c>
      <c r="J237" s="4" t="s">
        <v>447</v>
      </c>
      <c r="K237" s="5">
        <v>0</v>
      </c>
      <c r="L237" s="4"/>
      <c r="M237" s="6">
        <f t="shared" si="16"/>
        <v>8</v>
      </c>
      <c r="N237" s="7">
        <f t="shared" si="17"/>
        <v>0.178571428571429</v>
      </c>
      <c r="O237" s="7">
        <f t="shared" si="18"/>
        <v>0.75</v>
      </c>
      <c r="P237" s="7">
        <f t="shared" si="19"/>
        <v>0</v>
      </c>
      <c r="Q237" s="38" t="s">
        <v>23</v>
      </c>
    </row>
    <row r="238" s="1" customFormat="1" spans="1:17">
      <c r="A238" s="49">
        <v>44818</v>
      </c>
      <c r="B238" s="41">
        <v>1167</v>
      </c>
      <c r="C238" s="51">
        <v>3624</v>
      </c>
      <c r="D238" s="41">
        <v>42</v>
      </c>
      <c r="E238" s="41">
        <v>9</v>
      </c>
      <c r="F238" s="41">
        <v>26</v>
      </c>
      <c r="G238" s="1">
        <v>23</v>
      </c>
      <c r="H238" s="1">
        <v>7</v>
      </c>
      <c r="I238" s="4">
        <v>1</v>
      </c>
      <c r="J238" s="4" t="s">
        <v>448</v>
      </c>
      <c r="K238" s="5">
        <v>2</v>
      </c>
      <c r="L238" s="4" t="s">
        <v>449</v>
      </c>
      <c r="M238" s="6">
        <f t="shared" si="16"/>
        <v>10</v>
      </c>
      <c r="N238" s="7">
        <f t="shared" si="17"/>
        <v>0.179487179487179</v>
      </c>
      <c r="O238" s="7">
        <f t="shared" si="18"/>
        <v>0.2</v>
      </c>
      <c r="P238" s="7">
        <f t="shared" si="19"/>
        <v>0.666666666666667</v>
      </c>
      <c r="Q238" s="37" t="s">
        <v>21</v>
      </c>
    </row>
    <row r="239" s="1" customFormat="1" spans="1:17">
      <c r="A239" s="49">
        <v>44819</v>
      </c>
      <c r="B239" s="41">
        <v>683</v>
      </c>
      <c r="C239" s="51">
        <v>4176</v>
      </c>
      <c r="D239" s="41">
        <v>38</v>
      </c>
      <c r="E239" s="41">
        <v>43</v>
      </c>
      <c r="F239" s="41">
        <v>27</v>
      </c>
      <c r="G239" s="41">
        <v>22</v>
      </c>
      <c r="H239" s="1">
        <v>4</v>
      </c>
      <c r="I239" s="4">
        <v>1</v>
      </c>
      <c r="J239" s="4" t="s">
        <v>403</v>
      </c>
      <c r="K239" s="5">
        <v>0</v>
      </c>
      <c r="L239" s="4"/>
      <c r="M239" s="6">
        <f t="shared" si="16"/>
        <v>5</v>
      </c>
      <c r="N239" s="7">
        <f t="shared" si="17"/>
        <v>0.173913043478261</v>
      </c>
      <c r="O239" s="7">
        <f t="shared" si="18"/>
        <v>0.142857142857143</v>
      </c>
      <c r="P239" s="7">
        <f t="shared" si="19"/>
        <v>0</v>
      </c>
      <c r="Q239" s="38" t="s">
        <v>23</v>
      </c>
    </row>
    <row r="240" s="1" customFormat="1" spans="1:17">
      <c r="A240" s="49">
        <v>44820</v>
      </c>
      <c r="B240" s="41">
        <v>674</v>
      </c>
      <c r="C240" s="51">
        <v>4201</v>
      </c>
      <c r="D240" s="41">
        <v>26</v>
      </c>
      <c r="E240" s="41">
        <v>43</v>
      </c>
      <c r="F240" s="41">
        <v>24</v>
      </c>
      <c r="G240" s="41">
        <v>20</v>
      </c>
      <c r="H240" s="41">
        <v>3</v>
      </c>
      <c r="I240" s="4">
        <v>1</v>
      </c>
      <c r="J240" s="4" t="s">
        <v>147</v>
      </c>
      <c r="K240" s="5">
        <v>0</v>
      </c>
      <c r="L240" s="4"/>
      <c r="M240" s="6">
        <f t="shared" si="16"/>
        <v>4</v>
      </c>
      <c r="N240" s="7">
        <f t="shared" si="17"/>
        <v>0.136363636363636</v>
      </c>
      <c r="O240" s="7">
        <f t="shared" si="18"/>
        <v>0.25</v>
      </c>
      <c r="P240" s="7">
        <f t="shared" si="19"/>
        <v>0</v>
      </c>
      <c r="Q240" s="38" t="s">
        <v>23</v>
      </c>
    </row>
    <row r="241" s="1" customFormat="1" spans="1:17">
      <c r="A241" s="49">
        <v>44823</v>
      </c>
      <c r="B241" s="41">
        <v>1146</v>
      </c>
      <c r="C241" s="51">
        <v>3680</v>
      </c>
      <c r="D241" s="41">
        <v>36</v>
      </c>
      <c r="E241" s="41">
        <v>42</v>
      </c>
      <c r="F241" s="41">
        <v>33</v>
      </c>
      <c r="G241" s="41">
        <v>26</v>
      </c>
      <c r="H241" s="41">
        <v>5</v>
      </c>
      <c r="I241" s="4">
        <v>1</v>
      </c>
      <c r="J241" s="4" t="s">
        <v>324</v>
      </c>
      <c r="K241" s="5">
        <v>1</v>
      </c>
      <c r="L241" s="4" t="s">
        <v>450</v>
      </c>
      <c r="M241" s="6">
        <f t="shared" si="16"/>
        <v>7</v>
      </c>
      <c r="N241" s="7">
        <f t="shared" si="17"/>
        <v>0.25</v>
      </c>
      <c r="O241" s="7">
        <f t="shared" si="18"/>
        <v>0.333333333333333</v>
      </c>
      <c r="P241" s="7">
        <f t="shared" si="19"/>
        <v>1</v>
      </c>
      <c r="Q241" s="37" t="s">
        <v>21</v>
      </c>
    </row>
    <row r="242" s="1" customFormat="1" spans="1:17">
      <c r="A242" s="49">
        <v>44824</v>
      </c>
      <c r="B242" s="40">
        <v>3841</v>
      </c>
      <c r="C242" s="41">
        <v>954</v>
      </c>
      <c r="D242" s="41">
        <v>65</v>
      </c>
      <c r="E242" s="41">
        <v>3</v>
      </c>
      <c r="F242" s="41">
        <v>32</v>
      </c>
      <c r="G242" s="41">
        <v>50</v>
      </c>
      <c r="H242" s="41">
        <v>4</v>
      </c>
      <c r="I242" s="4">
        <v>2</v>
      </c>
      <c r="J242" s="4" t="s">
        <v>451</v>
      </c>
      <c r="K242" s="5">
        <v>2</v>
      </c>
      <c r="L242" s="4" t="s">
        <v>452</v>
      </c>
      <c r="M242" s="6">
        <f t="shared" si="16"/>
        <v>8</v>
      </c>
      <c r="N242" s="7">
        <f t="shared" si="17"/>
        <v>0.153846153846154</v>
      </c>
      <c r="O242" s="7">
        <f t="shared" si="18"/>
        <v>0.4</v>
      </c>
      <c r="P242" s="7">
        <f t="shared" si="19"/>
        <v>1</v>
      </c>
      <c r="Q242" s="37" t="s">
        <v>21</v>
      </c>
    </row>
  </sheetData>
  <mergeCells count="6">
    <mergeCell ref="E1:Q1"/>
    <mergeCell ref="L2:Q2"/>
    <mergeCell ref="L3:Q3"/>
    <mergeCell ref="R99:V99"/>
    <mergeCell ref="R108:V109"/>
    <mergeCell ref="R113:V11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                O₩G</cp:lastModifiedBy>
  <dcterms:created xsi:type="dcterms:W3CDTF">2022-09-20T08:14:14Z</dcterms:created>
  <dcterms:modified xsi:type="dcterms:W3CDTF">2022-09-20T08:14:33Z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948732130A2A4C2587A7BE054A8714B3</vt:lpwstr>
  </property>
  <property fmtid="{D5CDD505-2E9C-101B-9397-08002B2CF9AE}" pid="3" name="KSOProductBuildVer">
    <vt:lpwstr>2052-11.1.0.12358</vt:lpwstr>
  </property>
</Properties>
</file>